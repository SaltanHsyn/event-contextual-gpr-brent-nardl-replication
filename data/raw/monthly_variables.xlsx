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Yeni Makale/"/>
    </mc:Choice>
  </mc:AlternateContent>
  <xr:revisionPtr revIDLastSave="0" documentId="13_ncr:1_{7A3F2747-8177-AD42-AF95-EF0C09B78778}" xr6:coauthVersionLast="47" xr6:coauthVersionMax="47" xr10:uidLastSave="{00000000-0000-0000-0000-000000000000}"/>
  <bookViews>
    <workbookView xWindow="19180" yWindow="600" windowWidth="19220" windowHeight="19740" activeTab="1" xr2:uid="{2741D166-052B-DC47-A471-86263E1F7C4F}"/>
  </bookViews>
  <sheets>
    <sheet name="Analiz Verileri" sheetId="2" r:id="rId1"/>
    <sheet name="Sayf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2" l="1"/>
  <c r="E34" i="2"/>
  <c r="E174" i="2"/>
  <c r="E214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" i="2"/>
  <c r="E2" i="2" s="1"/>
</calcChain>
</file>

<file path=xl/sharedStrings.xml><?xml version="1.0" encoding="utf-8"?>
<sst xmlns="http://schemas.openxmlformats.org/spreadsheetml/2006/main" count="464" uniqueCount="445">
  <si>
    <t>GPR</t>
  </si>
  <si>
    <t>Date</t>
  </si>
  <si>
    <t>55.58</t>
  </si>
  <si>
    <t>67.02</t>
  </si>
  <si>
    <t>71.41</t>
  </si>
  <si>
    <t>77.05</t>
  </si>
  <si>
    <t>72.69</t>
  </si>
  <si>
    <t>79.17</t>
  </si>
  <si>
    <t>90.63</t>
  </si>
  <si>
    <t>88.26</t>
  </si>
  <si>
    <t>93.85</t>
  </si>
  <si>
    <t>92.21</t>
  </si>
  <si>
    <t>100.1</t>
  </si>
  <si>
    <t>100.3</t>
  </si>
  <si>
    <t>111.36</t>
  </si>
  <si>
    <t>127.78</t>
  </si>
  <si>
    <t>139.83</t>
  </si>
  <si>
    <t>123.98</t>
  </si>
  <si>
    <t>114.05</t>
  </si>
  <si>
    <t>98.17</t>
  </si>
  <si>
    <t>65.32</t>
  </si>
  <si>
    <t>53.49</t>
  </si>
  <si>
    <t>45.59</t>
  </si>
  <si>
    <t>45.88</t>
  </si>
  <si>
    <t>46.35</t>
  </si>
  <si>
    <t>49.23</t>
  </si>
  <si>
    <t>50.8</t>
  </si>
  <si>
    <t>65.52</t>
  </si>
  <si>
    <t>69.3</t>
  </si>
  <si>
    <t>71.7</t>
  </si>
  <si>
    <t>69.65</t>
  </si>
  <si>
    <t>69.07</t>
  </si>
  <si>
    <t>75.2</t>
  </si>
  <si>
    <t>78.47</t>
  </si>
  <si>
    <t>77.93</t>
  </si>
  <si>
    <t>71.46</t>
  </si>
  <si>
    <t>77.59</t>
  </si>
  <si>
    <t>82.7</t>
  </si>
  <si>
    <t>87.44</t>
  </si>
  <si>
    <t>74.65</t>
  </si>
  <si>
    <t>75.01</t>
  </si>
  <si>
    <t>78.18</t>
  </si>
  <si>
    <t>74.64</t>
  </si>
  <si>
    <t>82.31</t>
  </si>
  <si>
    <t>83.15</t>
  </si>
  <si>
    <t>85.92</t>
  </si>
  <si>
    <t>94.75</t>
  </si>
  <si>
    <t>101.01</t>
  </si>
  <si>
    <t>111.8</t>
  </si>
  <si>
    <t>117.36</t>
  </si>
  <si>
    <t>125.89</t>
  </si>
  <si>
    <t>116.73</t>
  </si>
  <si>
    <t>112.48</t>
  </si>
  <si>
    <t>116.74</t>
  </si>
  <si>
    <t>114.85</t>
  </si>
  <si>
    <t>102.76</t>
  </si>
  <si>
    <t>109.56</t>
  </si>
  <si>
    <t>110.52</t>
  </si>
  <si>
    <t>107.38</t>
  </si>
  <si>
    <t>110.98</t>
  </si>
  <si>
    <t>122.66</t>
  </si>
  <si>
    <t>122.88</t>
  </si>
  <si>
    <t>119.47</t>
  </si>
  <si>
    <t>101.43</t>
  </si>
  <si>
    <t>97.88</t>
  </si>
  <si>
    <t>103.84</t>
  </si>
  <si>
    <t>111.58</t>
  </si>
  <si>
    <t>107.56</t>
  </si>
  <si>
    <t>110.25</t>
  </si>
  <si>
    <t>109.89</t>
  </si>
  <si>
    <t>114.54</t>
  </si>
  <si>
    <t>110.42</t>
  </si>
  <si>
    <t>110.02</t>
  </si>
  <si>
    <t>102.37</t>
  </si>
  <si>
    <t>100.39</t>
  </si>
  <si>
    <t>102.16</t>
  </si>
  <si>
    <t>107.7</t>
  </si>
  <si>
    <t>114.01</t>
  </si>
  <si>
    <t>108.37</t>
  </si>
  <si>
    <t>108.84</t>
  </si>
  <si>
    <t>109.69</t>
  </si>
  <si>
    <t>110.8</t>
  </si>
  <si>
    <t>106.4</t>
  </si>
  <si>
    <t>109.07</t>
  </si>
  <si>
    <t>107.76</t>
  </si>
  <si>
    <t>108.07</t>
  </si>
  <si>
    <t>108.68</t>
  </si>
  <si>
    <t>112.07</t>
  </si>
  <si>
    <t>106.53</t>
  </si>
  <si>
    <t>103.77</t>
  </si>
  <si>
    <t>95.32</t>
  </si>
  <si>
    <t>86.34</t>
  </si>
  <si>
    <t>70.58</t>
  </si>
  <si>
    <t>58.21</t>
  </si>
  <si>
    <t>53.95</t>
  </si>
  <si>
    <t>63.15</t>
  </si>
  <si>
    <t>56.21</t>
  </si>
  <si>
    <t>67.45</t>
  </si>
  <si>
    <t>66.14</t>
  </si>
  <si>
    <t>64.14</t>
  </si>
  <si>
    <t>52.85</t>
  </si>
  <si>
    <t>54.99</t>
  </si>
  <si>
    <t>49.05</t>
  </si>
  <si>
    <t>50.31</t>
  </si>
  <si>
    <t>45.24</t>
  </si>
  <si>
    <t>37.67</t>
  </si>
  <si>
    <t>35.99</t>
  </si>
  <si>
    <t>36.57</t>
  </si>
  <si>
    <t>40.33</t>
  </si>
  <si>
    <t>47.37</t>
  </si>
  <si>
    <t>49.89</t>
  </si>
  <si>
    <t>49.71</t>
  </si>
  <si>
    <t>43.53</t>
  </si>
  <si>
    <t>46.89</t>
  </si>
  <si>
    <t>50.19</t>
  </si>
  <si>
    <t>48.61</t>
  </si>
  <si>
    <t>51.84</t>
  </si>
  <si>
    <t>57.49</t>
  </si>
  <si>
    <t>56.51</t>
  </si>
  <si>
    <t>53.53</t>
  </si>
  <si>
    <t>52.05</t>
  </si>
  <si>
    <t>50.76</t>
  </si>
  <si>
    <t>48.77</t>
  </si>
  <si>
    <t>52.72</t>
  </si>
  <si>
    <t>52.86</t>
  </si>
  <si>
    <t>56.79</t>
  </si>
  <si>
    <t>60.94</t>
  </si>
  <si>
    <t>62.63</t>
  </si>
  <si>
    <t>66.44</t>
  </si>
  <si>
    <t>68.89</t>
  </si>
  <si>
    <t>64.73</t>
  </si>
  <si>
    <t>69.34</t>
  </si>
  <si>
    <t>74.69</t>
  </si>
  <si>
    <t>77.56</t>
  </si>
  <si>
    <t>79.23</t>
  </si>
  <si>
    <t>74.21</t>
  </si>
  <si>
    <t>77.64</t>
  </si>
  <si>
    <t>82.73</t>
  </si>
  <si>
    <t>75.04</t>
  </si>
  <si>
    <t>59.46</t>
  </si>
  <si>
    <t>54.02</t>
  </si>
  <si>
    <t>60.84</t>
  </si>
  <si>
    <t>66.31</t>
  </si>
  <si>
    <t>67.58</t>
  </si>
  <si>
    <t>72.06</t>
  </si>
  <si>
    <t>61.99</t>
  </si>
  <si>
    <t>64.74</t>
  </si>
  <si>
    <t>65.05</t>
  </si>
  <si>
    <t>59.25</t>
  </si>
  <si>
    <t>59.62</t>
  </si>
  <si>
    <t>60.49</t>
  </si>
  <si>
    <t>65.29</t>
  </si>
  <si>
    <t>56.62</t>
  </si>
  <si>
    <t>49.67</t>
  </si>
  <si>
    <t>26.35</t>
  </si>
  <si>
    <t>26.48</t>
  </si>
  <si>
    <t>37.84</t>
  </si>
  <si>
    <t>41.27</t>
  </si>
  <si>
    <t>43.52</t>
  </si>
  <si>
    <t>45.66</t>
  </si>
  <si>
    <t>42.3</t>
  </si>
  <si>
    <t>37.94</t>
  </si>
  <si>
    <t>47.88</t>
  </si>
  <si>
    <t>51.82</t>
  </si>
  <si>
    <t>55.04</t>
  </si>
  <si>
    <t>64.42</t>
  </si>
  <si>
    <t>62.74</t>
  </si>
  <si>
    <t>66.76</t>
  </si>
  <si>
    <t>68.95</t>
  </si>
  <si>
    <t>74.62</t>
  </si>
  <si>
    <t>75.41</t>
  </si>
  <si>
    <t>71.63</t>
  </si>
  <si>
    <t>78.31</t>
  </si>
  <si>
    <t>83.72</t>
  </si>
  <si>
    <t>69.23</t>
  </si>
  <si>
    <t>77.35</t>
  </si>
  <si>
    <t>89.26</t>
  </si>
  <si>
    <t>97.97</t>
  </si>
  <si>
    <t>104.71</t>
  </si>
  <si>
    <t>107.14</t>
  </si>
  <si>
    <t>115.6</t>
  </si>
  <si>
    <t>109.03</t>
  </si>
  <si>
    <t>103.97</t>
  </si>
  <si>
    <t>95.64</t>
  </si>
  <si>
    <t>85.14</t>
  </si>
  <si>
    <t>92.81</t>
  </si>
  <si>
    <t>86.97</t>
  </si>
  <si>
    <t>85.65</t>
  </si>
  <si>
    <t>85.46</t>
  </si>
  <si>
    <t>83.45</t>
  </si>
  <si>
    <t>79.89</t>
  </si>
  <si>
    <t>80.33</t>
  </si>
  <si>
    <t>72.6</t>
  </si>
  <si>
    <t>85.43</t>
  </si>
  <si>
    <t>86.83</t>
  </si>
  <si>
    <t>92.2</t>
  </si>
  <si>
    <t>85.02</t>
  </si>
  <si>
    <t>80.86</t>
  </si>
  <si>
    <t>77.04</t>
  </si>
  <si>
    <t>81.71</t>
  </si>
  <si>
    <t>81.91</t>
  </si>
  <si>
    <t>86.33</t>
  </si>
  <si>
    <t>81.11</t>
  </si>
  <si>
    <t>80.84</t>
  </si>
  <si>
    <t>76.93</t>
  </si>
  <si>
    <t>71.77</t>
  </si>
  <si>
    <t>72.81</t>
  </si>
  <si>
    <t>71.84</t>
  </si>
  <si>
    <t>76.76</t>
  </si>
  <si>
    <t>74.74</t>
  </si>
  <si>
    <t>63.12</t>
  </si>
  <si>
    <t>63.9</t>
  </si>
  <si>
    <t>67.61</t>
  </si>
  <si>
    <t>68.12</t>
  </si>
  <si>
    <t>64.77</t>
  </si>
  <si>
    <t>62.38</t>
  </si>
  <si>
    <t>70.69</t>
  </si>
  <si>
    <t>72.48</t>
  </si>
  <si>
    <t>118.35</t>
  </si>
  <si>
    <t>BRENT</t>
  </si>
  <si>
    <t>EPUTRADE</t>
  </si>
  <si>
    <t>OVXCLS</t>
  </si>
  <si>
    <t>ABD-IRAN_Dumyy</t>
  </si>
  <si>
    <t>Ukr-Rus_dummy</t>
  </si>
  <si>
    <t>BRENT VİRGÜLLÜ</t>
  </si>
  <si>
    <t>LNBRENT</t>
  </si>
  <si>
    <t>4,26843792</t>
  </si>
  <si>
    <t>4,34445456</t>
  </si>
  <si>
    <t>4,28620382</t>
  </si>
  <si>
    <t>4,37159744</t>
  </si>
  <si>
    <t>4,50678528</t>
  </si>
  <si>
    <t>4,480287</t>
  </si>
  <si>
    <t>4,54169776</t>
  </si>
  <si>
    <t>4,52406858</t>
  </si>
  <si>
    <t>4,60616969</t>
  </si>
  <si>
    <t>4,60816569</t>
  </si>
  <si>
    <t>4,7127682</t>
  </si>
  <si>
    <t>4,85031004</t>
  </si>
  <si>
    <t>4,9404274</t>
  </si>
  <si>
    <t>4,82012026</t>
  </si>
  <si>
    <t>4,73663695</t>
  </si>
  <si>
    <t>4,58670067</t>
  </si>
  <si>
    <t>4,17929827</t>
  </si>
  <si>
    <t>3,97949472</t>
  </si>
  <si>
    <t>3,81968839</t>
  </si>
  <si>
    <t>3,82602929</t>
  </si>
  <si>
    <t>3,83622129</t>
  </si>
  <si>
    <t>3,89650319</t>
  </si>
  <si>
    <t>3,92789635</t>
  </si>
  <si>
    <t>4,18235544</t>
  </si>
  <si>
    <t>4,23844491</t>
  </si>
  <si>
    <t>4,27249075</t>
  </si>
  <si>
    <t>4,2434827</t>
  </si>
  <si>
    <t>4,23512048</t>
  </si>
  <si>
    <t>4,32015123</t>
  </si>
  <si>
    <t>4,36271639</t>
  </si>
  <si>
    <t>4,35581099</t>
  </si>
  <si>
    <t>4,26913785</t>
  </si>
  <si>
    <t>4,35143855</t>
  </si>
  <si>
    <t>4,4152196</t>
  </si>
  <si>
    <t>4,47095284</t>
  </si>
  <si>
    <t>4,31281052</t>
  </si>
  <si>
    <t>4,31762144</t>
  </si>
  <si>
    <t>4,35901386</t>
  </si>
  <si>
    <t>4,31267656</t>
  </si>
  <si>
    <t>4,41049261</t>
  </si>
  <si>
    <t>4,42064621</t>
  </si>
  <si>
    <t>4,45341663</t>
  </si>
  <si>
    <t>4,55124184</t>
  </si>
  <si>
    <t>4,61521952</t>
  </si>
  <si>
    <t>4,71671156</t>
  </si>
  <si>
    <t>4,76524613</t>
  </si>
  <si>
    <t>4,83540851</t>
  </si>
  <si>
    <t>4,75986358</t>
  </si>
  <si>
    <t>4,72277543</t>
  </si>
  <si>
    <t>4,75994924</t>
  </si>
  <si>
    <t>4,74362693</t>
  </si>
  <si>
    <t>4,63239617</t>
  </si>
  <si>
    <t>4,69647234</t>
  </si>
  <si>
    <t>4,7051965</t>
  </si>
  <si>
    <t>4,67637394</t>
  </si>
  <si>
    <t>4,70935</t>
  </si>
  <si>
    <t>4,8094163</t>
  </si>
  <si>
    <t>4,81120827</t>
  </si>
  <si>
    <t>4,78306529</t>
  </si>
  <si>
    <t>4,61936891</t>
  </si>
  <si>
    <t>4,58374224</t>
  </si>
  <si>
    <t>4,64285125</t>
  </si>
  <si>
    <t>4,71474182</t>
  </si>
  <si>
    <t>4,67804883</t>
  </si>
  <si>
    <t>4,70275051</t>
  </si>
  <si>
    <t>4,69947987</t>
  </si>
  <si>
    <t>4,74092411</t>
  </si>
  <si>
    <t>4,70429128</t>
  </si>
  <si>
    <t>4,70066217</t>
  </si>
  <si>
    <t>4,6285937</t>
  </si>
  <si>
    <t>4,6090626</t>
  </si>
  <si>
    <t>4,62654021</t>
  </si>
  <si>
    <t>4,67934958</t>
  </si>
  <si>
    <t>4,73628616</t>
  </si>
  <si>
    <t>4,6855513</t>
  </si>
  <si>
    <t>4,68987891</t>
  </si>
  <si>
    <t>4,69765821</t>
  </si>
  <si>
    <t>4,70772677</t>
  </si>
  <si>
    <t>4,66720558</t>
  </si>
  <si>
    <t>4,69198988</t>
  </si>
  <si>
    <t>4,67990653</t>
  </si>
  <si>
    <t>4,68277917</t>
  </si>
  <si>
    <t>4,68840778</t>
  </si>
  <si>
    <t>4,71912368</t>
  </si>
  <si>
    <t>4,66842664</t>
  </si>
  <si>
    <t>4,64217691</t>
  </si>
  <si>
    <t>4,55723965</t>
  </si>
  <si>
    <t>4,45829299</t>
  </si>
  <si>
    <t>4,25674682</t>
  </si>
  <si>
    <t>4,06405716</t>
  </si>
  <si>
    <t>3,98805769</t>
  </si>
  <si>
    <t>4,14551285</t>
  </si>
  <si>
    <t>4,02909468</t>
  </si>
  <si>
    <t>4,21138658</t>
  </si>
  <si>
    <t>4,19177371</t>
  </si>
  <si>
    <t>4,16106819</t>
  </si>
  <si>
    <t>3,96745771</t>
  </si>
  <si>
    <t>4,00715135</t>
  </si>
  <si>
    <t>3,89284019</t>
  </si>
  <si>
    <t>3,91820386</t>
  </si>
  <si>
    <t>3,81198165</t>
  </si>
  <si>
    <t>3,62886402</t>
  </si>
  <si>
    <t>3,58324112</t>
  </si>
  <si>
    <t>3,59922823</t>
  </si>
  <si>
    <t>3,69709561</t>
  </si>
  <si>
    <t>3,85798912</t>
  </si>
  <si>
    <t>3,90982058</t>
  </si>
  <si>
    <t>3,90620612</t>
  </si>
  <si>
    <t>3,77345036</t>
  </si>
  <si>
    <t>3,84780443</t>
  </si>
  <si>
    <t>3,9158158</t>
  </si>
  <si>
    <t>3,88382927</t>
  </si>
  <si>
    <t>3,94816205</t>
  </si>
  <si>
    <t>4,05161102</t>
  </si>
  <si>
    <t>4,01782342</t>
  </si>
  <si>
    <t>4,03441761</t>
  </si>
  <si>
    <t>3,98024224</t>
  </si>
  <si>
    <t>3,9522048</t>
  </si>
  <si>
    <t>3,92710864</t>
  </si>
  <si>
    <t>3,88711537</t>
  </si>
  <si>
    <t>3,96499489</t>
  </si>
  <si>
    <t>3,96764691</t>
  </si>
  <si>
    <t>4,03936025</t>
  </si>
  <si>
    <t>4,10988977</t>
  </si>
  <si>
    <t>4,1372444</t>
  </si>
  <si>
    <t>4,19629928</t>
  </si>
  <si>
    <t>4,23251103</t>
  </si>
  <si>
    <t>4,17022477</t>
  </si>
  <si>
    <t>4,23902194</t>
  </si>
  <si>
    <t>4,31334621</t>
  </si>
  <si>
    <t>4,35105183</t>
  </si>
  <si>
    <t>4,37235501</t>
  </si>
  <si>
    <t>4,30689891</t>
  </si>
  <si>
    <t>4,35208276</t>
  </si>
  <si>
    <t>4,41558229</t>
  </si>
  <si>
    <t>4,3180213</t>
  </si>
  <si>
    <t>4,08530382</t>
  </si>
  <si>
    <t>3,98935435</t>
  </si>
  <si>
    <t>4,10824747</t>
  </si>
  <si>
    <t>4,19434072</t>
  </si>
  <si>
    <t>4,21331208</t>
  </si>
  <si>
    <t>4,27749911</t>
  </si>
  <si>
    <t>4,12697308</t>
  </si>
  <si>
    <t>4,17037925</t>
  </si>
  <si>
    <t>4,1751562</t>
  </si>
  <si>
    <t>4,08176578</t>
  </si>
  <si>
    <t>4,08799109</t>
  </si>
  <si>
    <t>4,10247806</t>
  </si>
  <si>
    <t>4,17883889</t>
  </si>
  <si>
    <t>4,03636228</t>
  </si>
  <si>
    <t>3,90540113</t>
  </si>
  <si>
    <t>3,27146827</t>
  </si>
  <si>
    <t>3,27638973</t>
  </si>
  <si>
    <t>3,63336674</t>
  </si>
  <si>
    <t>3,72013584</t>
  </si>
  <si>
    <t>3,7732206</t>
  </si>
  <si>
    <t>3,82122264</t>
  </si>
  <si>
    <t>3,74478709</t>
  </si>
  <si>
    <t>3,63600596</t>
  </si>
  <si>
    <t>3,86869788</t>
  </si>
  <si>
    <t>3,94777618</t>
  </si>
  <si>
    <t>4,00806019</t>
  </si>
  <si>
    <t>4,16542414</t>
  </si>
  <si>
    <t>4,1389992</t>
  </si>
  <si>
    <t>4,2011041</t>
  </si>
  <si>
    <t>4,2333816</t>
  </si>
  <si>
    <t>4,31240857</t>
  </si>
  <si>
    <t>4,32293989</t>
  </si>
  <si>
    <t>4,27151398</t>
  </si>
  <si>
    <t>4,36067531</t>
  </si>
  <si>
    <t>4,4274779</t>
  </si>
  <si>
    <t>4,23743429</t>
  </si>
  <si>
    <t>4,34834058</t>
  </si>
  <si>
    <t>4,49155346</t>
  </si>
  <si>
    <t>4,58466131</t>
  </si>
  <si>
    <t>4,65119462</t>
  </si>
  <si>
    <t>4,67413639</t>
  </si>
  <si>
    <t>4,75013596</t>
  </si>
  <si>
    <t>4,69162307</t>
  </si>
  <si>
    <t>4,6441024</t>
  </si>
  <si>
    <t>4,56059114</t>
  </si>
  <si>
    <t>4,44429696</t>
  </si>
  <si>
    <t>4,53055439</t>
  </si>
  <si>
    <t>4,46556323</t>
  </si>
  <si>
    <t>4,45026922</t>
  </si>
  <si>
    <t>4,44804843</t>
  </si>
  <si>
    <t>4,42424765</t>
  </si>
  <si>
    <t>4,38065069</t>
  </si>
  <si>
    <t>4,38614315</t>
  </si>
  <si>
    <t>4,28496492</t>
  </si>
  <si>
    <t>4,44769733</t>
  </si>
  <si>
    <t>4,46395218</t>
  </si>
  <si>
    <t>4,52396013</t>
  </si>
  <si>
    <t>4,44288652</t>
  </si>
  <si>
    <t>4,39271926</t>
  </si>
  <si>
    <t>4,34432477</t>
  </si>
  <si>
    <t>4,40317639</t>
  </si>
  <si>
    <t>4,40562108</t>
  </si>
  <si>
    <t>4,46590812</t>
  </si>
  <si>
    <t>4,45817716</t>
  </si>
  <si>
    <t>4,39580626</t>
  </si>
  <si>
    <t>4,44265126</t>
  </si>
  <si>
    <t>4,39247189</t>
  </si>
  <si>
    <t>4,34289592</t>
  </si>
  <si>
    <t>4,27346656</t>
  </si>
  <si>
    <t>4,28785331</t>
  </si>
  <si>
    <t>4,27444142</t>
  </si>
  <si>
    <t>4,34068367</t>
  </si>
  <si>
    <t>4,31401542</t>
  </si>
  <si>
    <t>4,14503768</t>
  </si>
  <si>
    <t>4,15731936</t>
  </si>
  <si>
    <t>4,2137559</t>
  </si>
  <si>
    <t>4,22127086</t>
  </si>
  <si>
    <t>4,20499108</t>
  </si>
  <si>
    <t>4,17084253</t>
  </si>
  <si>
    <t>4,13324471</t>
  </si>
  <si>
    <t>4,25830412</t>
  </si>
  <si>
    <t>4,28331066</t>
  </si>
  <si>
    <t>4,77364634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</si>
</sst>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charset val="16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1820-7C84-5E49-A951-C5CA7527C609}">
  <dimension ref="A1:I228"/>
  <sheetViews>
    <sheetView workbookViewId="0">
      <selection activeCell="E1" sqref="E1:E1048576"/>
    </sheetView>
  </sheetViews>
  <sheetFormatPr baseColWidth="10" defaultRowHeight="16" x14ac:dyDescent="0.2"/>
  <cols>
    <col min="3" max="3" width="10.83203125" style="2"/>
    <col min="4" max="4" width="15.1640625" bestFit="1" customWidth="1"/>
    <col min="5" max="5" width="10.83203125" style="8"/>
    <col min="6" max="6" width="20.83203125" style="2" bestFit="1" customWidth="1"/>
    <col min="7" max="7" width="10.83203125" style="7"/>
  </cols>
  <sheetData>
    <row r="1" spans="1:9" x14ac:dyDescent="0.2">
      <c r="A1" t="s">
        <v>1</v>
      </c>
      <c r="B1" t="s">
        <v>0</v>
      </c>
      <c r="C1" s="2" t="s">
        <v>219</v>
      </c>
      <c r="D1" t="s">
        <v>224</v>
      </c>
      <c r="E1" s="8" t="s">
        <v>225</v>
      </c>
      <c r="F1" s="5" t="s">
        <v>220</v>
      </c>
      <c r="G1" s="3" t="s">
        <v>221</v>
      </c>
      <c r="H1" t="s">
        <v>223</v>
      </c>
      <c r="I1" t="s">
        <v>222</v>
      </c>
    </row>
    <row r="2" spans="1:9" x14ac:dyDescent="0.2">
      <c r="A2" s="1">
        <v>39234</v>
      </c>
      <c r="B2" s="4">
        <v>92.157554626464844</v>
      </c>
      <c r="C2" s="2" t="s">
        <v>4</v>
      </c>
      <c r="D2">
        <f t="shared" ref="D2:D65" si="0">SUBSTITUTE(C2,".",",")*1</f>
        <v>71.41</v>
      </c>
      <c r="E2" s="8">
        <f>LN(D2)</f>
        <v>4.2684379155610186</v>
      </c>
      <c r="F2" s="2">
        <v>22.405908850350372</v>
      </c>
      <c r="G2" s="6">
        <v>27</v>
      </c>
      <c r="H2">
        <v>0</v>
      </c>
      <c r="I2">
        <v>0</v>
      </c>
    </row>
    <row r="3" spans="1:9" x14ac:dyDescent="0.2">
      <c r="A3" s="1">
        <v>39264</v>
      </c>
      <c r="B3" s="4">
        <v>96.172065734863281</v>
      </c>
      <c r="C3" s="2" t="s">
        <v>5</v>
      </c>
      <c r="D3">
        <f t="shared" si="0"/>
        <v>77.05</v>
      </c>
      <c r="E3" s="8">
        <f t="shared" ref="E3:E66" si="1">LN(D3)</f>
        <v>4.344454561766125</v>
      </c>
      <c r="F3" s="2">
        <v>22.251537431105831</v>
      </c>
      <c r="G3" s="6">
        <v>27.72</v>
      </c>
      <c r="H3">
        <v>0</v>
      </c>
      <c r="I3">
        <v>0</v>
      </c>
    </row>
    <row r="4" spans="1:9" x14ac:dyDescent="0.2">
      <c r="A4" s="1">
        <v>39295</v>
      </c>
      <c r="B4" s="4">
        <v>70.597633361816406</v>
      </c>
      <c r="C4" s="2" t="s">
        <v>6</v>
      </c>
      <c r="D4">
        <f t="shared" si="0"/>
        <v>72.69</v>
      </c>
      <c r="E4" s="8">
        <f t="shared" si="1"/>
        <v>4.2862038234965443</v>
      </c>
      <c r="F4" s="2">
        <v>49.82382816529703</v>
      </c>
      <c r="G4" s="6">
        <v>30.72</v>
      </c>
      <c r="H4">
        <v>0</v>
      </c>
      <c r="I4">
        <v>0</v>
      </c>
    </row>
    <row r="5" spans="1:9" x14ac:dyDescent="0.2">
      <c r="A5" s="1">
        <v>39326</v>
      </c>
      <c r="B5" s="4">
        <v>88.085433959960938</v>
      </c>
      <c r="C5" s="2" t="s">
        <v>7</v>
      </c>
      <c r="D5">
        <f t="shared" si="0"/>
        <v>79.17</v>
      </c>
      <c r="E5" s="8">
        <f t="shared" si="1"/>
        <v>4.3715974391833425</v>
      </c>
      <c r="F5" s="2">
        <v>30.143416040004698</v>
      </c>
      <c r="G5" s="6">
        <v>29.85</v>
      </c>
      <c r="H5">
        <v>0</v>
      </c>
      <c r="I5">
        <v>0</v>
      </c>
    </row>
    <row r="6" spans="1:9" x14ac:dyDescent="0.2">
      <c r="A6" s="1">
        <v>39356</v>
      </c>
      <c r="B6" s="4">
        <v>94.438011169433594</v>
      </c>
      <c r="C6" s="2" t="s">
        <v>8</v>
      </c>
      <c r="D6">
        <f t="shared" si="0"/>
        <v>90.63</v>
      </c>
      <c r="E6" s="8">
        <f t="shared" si="1"/>
        <v>4.50678528406669</v>
      </c>
      <c r="F6" s="2">
        <v>46.929054755422477</v>
      </c>
      <c r="G6" s="6">
        <v>31.3</v>
      </c>
      <c r="H6">
        <v>0</v>
      </c>
      <c r="I6">
        <v>0</v>
      </c>
    </row>
    <row r="7" spans="1:9" x14ac:dyDescent="0.2">
      <c r="A7" s="1">
        <v>39387</v>
      </c>
      <c r="B7" s="4">
        <v>76.524871826171875</v>
      </c>
      <c r="C7" s="2" t="s">
        <v>9</v>
      </c>
      <c r="D7">
        <f t="shared" si="0"/>
        <v>88.26</v>
      </c>
      <c r="E7" s="8">
        <f t="shared" si="1"/>
        <v>4.4802870038414015</v>
      </c>
      <c r="F7" s="2">
        <v>31.168513828129861</v>
      </c>
      <c r="G7" s="6">
        <v>36.979999999999997</v>
      </c>
      <c r="H7">
        <v>0</v>
      </c>
      <c r="I7">
        <v>0</v>
      </c>
    </row>
    <row r="8" spans="1:9" x14ac:dyDescent="0.2">
      <c r="A8" s="1">
        <v>39417</v>
      </c>
      <c r="B8" s="4">
        <v>80.957160949707031</v>
      </c>
      <c r="C8" s="2" t="s">
        <v>10</v>
      </c>
      <c r="D8">
        <f t="shared" si="0"/>
        <v>93.85</v>
      </c>
      <c r="E8" s="8">
        <f t="shared" si="1"/>
        <v>4.5416977630325182</v>
      </c>
      <c r="F8" s="2">
        <v>35.255457356730638</v>
      </c>
      <c r="G8" s="6">
        <v>33.32</v>
      </c>
      <c r="H8">
        <v>0</v>
      </c>
      <c r="I8">
        <v>0</v>
      </c>
    </row>
    <row r="9" spans="1:9" x14ac:dyDescent="0.2">
      <c r="A9" s="1">
        <v>39448</v>
      </c>
      <c r="B9" s="4">
        <v>80.718040466308594</v>
      </c>
      <c r="C9" s="2" t="s">
        <v>11</v>
      </c>
      <c r="D9">
        <f t="shared" si="0"/>
        <v>92.21</v>
      </c>
      <c r="E9" s="8">
        <f t="shared" si="1"/>
        <v>4.52406858455105</v>
      </c>
      <c r="F9" s="2">
        <v>87.342782326159181</v>
      </c>
      <c r="G9" s="6">
        <v>33.43</v>
      </c>
      <c r="H9">
        <v>0</v>
      </c>
      <c r="I9">
        <v>0</v>
      </c>
    </row>
    <row r="10" spans="1:9" x14ac:dyDescent="0.2">
      <c r="A10" s="1">
        <v>39479</v>
      </c>
      <c r="B10" s="4">
        <v>79.338447570800781</v>
      </c>
      <c r="C10" s="2" t="s">
        <v>12</v>
      </c>
      <c r="D10">
        <f t="shared" si="0"/>
        <v>100.1</v>
      </c>
      <c r="E10" s="8">
        <f t="shared" si="1"/>
        <v>4.6061696863211745</v>
      </c>
      <c r="F10" s="2">
        <v>81.895839574845937</v>
      </c>
      <c r="G10" s="6">
        <v>32.67</v>
      </c>
      <c r="H10">
        <v>0</v>
      </c>
      <c r="I10">
        <v>0</v>
      </c>
    </row>
    <row r="11" spans="1:9" x14ac:dyDescent="0.2">
      <c r="A11" s="1">
        <v>39508</v>
      </c>
      <c r="B11" s="4">
        <v>67.831809997558594</v>
      </c>
      <c r="C11" s="2" t="s">
        <v>13</v>
      </c>
      <c r="D11">
        <f t="shared" si="0"/>
        <v>100.3</v>
      </c>
      <c r="E11" s="8">
        <f t="shared" si="1"/>
        <v>4.60816569496789</v>
      </c>
      <c r="F11" s="2">
        <v>72.408561661932993</v>
      </c>
      <c r="G11" s="6">
        <v>40.31</v>
      </c>
      <c r="H11">
        <v>0</v>
      </c>
      <c r="I11">
        <v>0</v>
      </c>
    </row>
    <row r="12" spans="1:9" x14ac:dyDescent="0.2">
      <c r="A12" s="1">
        <v>39539</v>
      </c>
      <c r="B12" s="4">
        <v>68.298210144042969</v>
      </c>
      <c r="C12" s="2" t="s">
        <v>14</v>
      </c>
      <c r="D12">
        <f t="shared" si="0"/>
        <v>111.36</v>
      </c>
      <c r="E12" s="8">
        <f t="shared" si="1"/>
        <v>4.7127681965861097</v>
      </c>
      <c r="F12" s="2">
        <v>93.699772082025206</v>
      </c>
      <c r="G12" s="6">
        <v>39.68</v>
      </c>
      <c r="H12">
        <v>0</v>
      </c>
      <c r="I12">
        <v>0</v>
      </c>
    </row>
    <row r="13" spans="1:9" x14ac:dyDescent="0.2">
      <c r="A13" s="1">
        <v>39569</v>
      </c>
      <c r="B13" s="4">
        <v>65.236572265625</v>
      </c>
      <c r="C13" s="2" t="s">
        <v>15</v>
      </c>
      <c r="D13">
        <f t="shared" si="0"/>
        <v>127.78</v>
      </c>
      <c r="E13" s="8">
        <f t="shared" si="1"/>
        <v>4.8503100351741972</v>
      </c>
      <c r="F13" s="2">
        <v>41.391351580651623</v>
      </c>
      <c r="G13" s="6">
        <v>38.97</v>
      </c>
      <c r="H13">
        <v>0</v>
      </c>
      <c r="I13">
        <v>0</v>
      </c>
    </row>
    <row r="14" spans="1:9" x14ac:dyDescent="0.2">
      <c r="A14" s="1">
        <v>39600</v>
      </c>
      <c r="B14" s="4">
        <v>70.527206420898438</v>
      </c>
      <c r="C14" s="2" t="s">
        <v>16</v>
      </c>
      <c r="D14">
        <f t="shared" si="0"/>
        <v>139.83000000000001</v>
      </c>
      <c r="E14" s="8">
        <f t="shared" si="1"/>
        <v>4.9404273990527594</v>
      </c>
      <c r="F14" s="2">
        <v>43.103073460445231</v>
      </c>
      <c r="G14" s="6">
        <v>45.99</v>
      </c>
      <c r="H14">
        <v>0</v>
      </c>
      <c r="I14">
        <v>0</v>
      </c>
    </row>
    <row r="15" spans="1:9" x14ac:dyDescent="0.2">
      <c r="A15" s="1">
        <v>39630</v>
      </c>
      <c r="B15" s="4">
        <v>79.431724548339844</v>
      </c>
      <c r="C15" s="2" t="s">
        <v>17</v>
      </c>
      <c r="D15">
        <f t="shared" si="0"/>
        <v>123.98</v>
      </c>
      <c r="E15" s="8">
        <f t="shared" si="1"/>
        <v>4.8201202622737735</v>
      </c>
      <c r="F15" s="2">
        <v>28.957535994515041</v>
      </c>
      <c r="G15" s="6">
        <v>48.93</v>
      </c>
      <c r="H15">
        <v>0</v>
      </c>
      <c r="I15">
        <v>0</v>
      </c>
    </row>
    <row r="16" spans="1:9" x14ac:dyDescent="0.2">
      <c r="A16" s="1">
        <v>39661</v>
      </c>
      <c r="B16" s="4">
        <v>74.765617370605469</v>
      </c>
      <c r="C16" s="2" t="s">
        <v>18</v>
      </c>
      <c r="D16">
        <f t="shared" si="0"/>
        <v>114.05</v>
      </c>
      <c r="E16" s="8">
        <f t="shared" si="1"/>
        <v>4.7366369487303972</v>
      </c>
      <c r="F16" s="2">
        <v>40.370646482149162</v>
      </c>
      <c r="G16" s="6">
        <v>46.71</v>
      </c>
      <c r="H16">
        <v>0</v>
      </c>
      <c r="I16">
        <v>0</v>
      </c>
    </row>
    <row r="17" spans="1:9" x14ac:dyDescent="0.2">
      <c r="A17" s="1">
        <v>39692</v>
      </c>
      <c r="B17" s="4">
        <v>77.945823669433594</v>
      </c>
      <c r="C17" s="2" t="s">
        <v>19</v>
      </c>
      <c r="D17">
        <f t="shared" si="0"/>
        <v>98.17</v>
      </c>
      <c r="E17" s="8">
        <f t="shared" si="1"/>
        <v>4.5867006697044301</v>
      </c>
      <c r="F17" s="2">
        <v>30.550759500004769</v>
      </c>
      <c r="G17" s="6">
        <v>50.59</v>
      </c>
      <c r="H17">
        <v>0</v>
      </c>
      <c r="I17">
        <v>0</v>
      </c>
    </row>
    <row r="18" spans="1:9" x14ac:dyDescent="0.2">
      <c r="A18" s="1">
        <v>39722</v>
      </c>
      <c r="B18" s="4">
        <v>52.132774353027344</v>
      </c>
      <c r="C18" s="2" t="s">
        <v>20</v>
      </c>
      <c r="D18">
        <f t="shared" si="0"/>
        <v>65.319999999999993</v>
      </c>
      <c r="E18" s="8">
        <f t="shared" si="1"/>
        <v>4.1792982681022641</v>
      </c>
      <c r="F18" s="2">
        <v>63.263959590133332</v>
      </c>
      <c r="G18" s="6">
        <v>72.19</v>
      </c>
      <c r="H18">
        <v>0</v>
      </c>
      <c r="I18">
        <v>0</v>
      </c>
    </row>
    <row r="19" spans="1:9" x14ac:dyDescent="0.2">
      <c r="A19" s="1">
        <v>39753</v>
      </c>
      <c r="B19" s="4">
        <v>63.414886474609375</v>
      </c>
      <c r="C19" s="2" t="s">
        <v>21</v>
      </c>
      <c r="D19">
        <f t="shared" si="0"/>
        <v>53.49</v>
      </c>
      <c r="E19" s="8">
        <f t="shared" si="1"/>
        <v>3.9794947205431588</v>
      </c>
      <c r="F19" s="2">
        <v>86.634817998188709</v>
      </c>
      <c r="G19" s="6">
        <v>80.89</v>
      </c>
      <c r="H19">
        <v>0</v>
      </c>
      <c r="I19">
        <v>0</v>
      </c>
    </row>
    <row r="20" spans="1:9" x14ac:dyDescent="0.2">
      <c r="A20" s="1">
        <v>39783</v>
      </c>
      <c r="B20" s="4">
        <v>74.673095703125</v>
      </c>
      <c r="C20" s="2" t="s">
        <v>22</v>
      </c>
      <c r="D20">
        <f t="shared" si="0"/>
        <v>45.59</v>
      </c>
      <c r="E20" s="8">
        <f t="shared" si="1"/>
        <v>3.8196883942253503</v>
      </c>
      <c r="F20" s="2">
        <v>35.952156642662302</v>
      </c>
      <c r="G20" s="6">
        <v>91.92</v>
      </c>
      <c r="H20">
        <v>0</v>
      </c>
      <c r="I20">
        <v>0</v>
      </c>
    </row>
    <row r="21" spans="1:9" x14ac:dyDescent="0.2">
      <c r="A21" s="1">
        <v>39814</v>
      </c>
      <c r="B21" s="4">
        <v>61.334930419921875</v>
      </c>
      <c r="C21" s="2" t="s">
        <v>23</v>
      </c>
      <c r="D21">
        <f t="shared" si="0"/>
        <v>45.88</v>
      </c>
      <c r="E21" s="8">
        <f t="shared" si="1"/>
        <v>3.8260292922611701</v>
      </c>
      <c r="F21" s="2">
        <v>45.713820281257142</v>
      </c>
      <c r="G21" s="6">
        <v>80.900000000000006</v>
      </c>
      <c r="H21">
        <v>0</v>
      </c>
      <c r="I21">
        <v>0</v>
      </c>
    </row>
    <row r="22" spans="1:9" x14ac:dyDescent="0.2">
      <c r="A22" s="1">
        <v>39845</v>
      </c>
      <c r="B22" s="4">
        <v>63.048900604248047</v>
      </c>
      <c r="C22" s="2" t="s">
        <v>24</v>
      </c>
      <c r="D22">
        <f t="shared" si="0"/>
        <v>46.35</v>
      </c>
      <c r="E22" s="8">
        <f t="shared" si="1"/>
        <v>3.8362212920118641</v>
      </c>
      <c r="F22" s="2">
        <v>44.198557243408651</v>
      </c>
      <c r="G22" s="6">
        <v>71.709999999999994</v>
      </c>
      <c r="H22">
        <v>0</v>
      </c>
      <c r="I22">
        <v>0</v>
      </c>
    </row>
    <row r="23" spans="1:9" x14ac:dyDescent="0.2">
      <c r="A23" s="1">
        <v>39873</v>
      </c>
      <c r="B23" s="4">
        <v>56.752571105957031</v>
      </c>
      <c r="C23" s="2" t="s">
        <v>25</v>
      </c>
      <c r="D23">
        <f t="shared" si="0"/>
        <v>49.23</v>
      </c>
      <c r="E23" s="8">
        <f t="shared" si="1"/>
        <v>3.8965031937701093</v>
      </c>
      <c r="F23" s="2">
        <v>59.439646316419058</v>
      </c>
      <c r="G23" s="6">
        <v>68.83</v>
      </c>
      <c r="H23">
        <v>0</v>
      </c>
      <c r="I23">
        <v>0</v>
      </c>
    </row>
    <row r="24" spans="1:9" x14ac:dyDescent="0.2">
      <c r="A24" s="1">
        <v>39904</v>
      </c>
      <c r="B24" s="4">
        <v>69.484733581542969</v>
      </c>
      <c r="C24" s="2" t="s">
        <v>26</v>
      </c>
      <c r="D24">
        <f t="shared" si="0"/>
        <v>50.8</v>
      </c>
      <c r="E24" s="8">
        <f t="shared" si="1"/>
        <v>3.9278963545844361</v>
      </c>
      <c r="F24" s="2">
        <v>14.439136333031451</v>
      </c>
      <c r="G24" s="6">
        <v>57.84</v>
      </c>
      <c r="H24">
        <v>0</v>
      </c>
      <c r="I24">
        <v>0</v>
      </c>
    </row>
    <row r="25" spans="1:9" x14ac:dyDescent="0.2">
      <c r="A25" s="1">
        <v>39934</v>
      </c>
      <c r="B25" s="4">
        <v>77.430244445800781</v>
      </c>
      <c r="C25" s="2" t="s">
        <v>27</v>
      </c>
      <c r="D25">
        <f t="shared" si="0"/>
        <v>65.52</v>
      </c>
      <c r="E25" s="8">
        <f t="shared" si="1"/>
        <v>4.1823554395448141</v>
      </c>
      <c r="F25" s="2">
        <v>18.718312628337781</v>
      </c>
      <c r="G25" s="6">
        <v>44.36</v>
      </c>
      <c r="H25">
        <v>0</v>
      </c>
      <c r="I25">
        <v>0</v>
      </c>
    </row>
    <row r="26" spans="1:9" x14ac:dyDescent="0.2">
      <c r="A26" s="1">
        <v>39965</v>
      </c>
      <c r="B26" s="4">
        <v>71.356887817382812</v>
      </c>
      <c r="C26" s="2" t="s">
        <v>28</v>
      </c>
      <c r="D26">
        <f t="shared" si="0"/>
        <v>69.3</v>
      </c>
      <c r="E26" s="8">
        <f t="shared" si="1"/>
        <v>4.2384449061958573</v>
      </c>
      <c r="F26" s="2">
        <v>42.783234917337353</v>
      </c>
      <c r="G26" s="6">
        <v>45.03</v>
      </c>
      <c r="H26">
        <v>0</v>
      </c>
      <c r="I26">
        <v>0</v>
      </c>
    </row>
    <row r="27" spans="1:9" x14ac:dyDescent="0.2">
      <c r="A27" s="1">
        <v>39995</v>
      </c>
      <c r="B27" s="4">
        <v>69.431495666503906</v>
      </c>
      <c r="C27" s="2" t="s">
        <v>29</v>
      </c>
      <c r="D27">
        <f t="shared" si="0"/>
        <v>71.7</v>
      </c>
      <c r="E27" s="8">
        <f t="shared" si="1"/>
        <v>4.2724907476055751</v>
      </c>
      <c r="F27" s="2">
        <v>19.639773964288771</v>
      </c>
      <c r="G27" s="6">
        <v>46.24</v>
      </c>
      <c r="H27">
        <v>0</v>
      </c>
      <c r="I27">
        <v>0</v>
      </c>
    </row>
    <row r="28" spans="1:9" x14ac:dyDescent="0.2">
      <c r="A28" s="1">
        <v>40026</v>
      </c>
      <c r="B28" s="4">
        <v>59.946456909179688</v>
      </c>
      <c r="C28" s="2" t="s">
        <v>30</v>
      </c>
      <c r="D28">
        <f t="shared" si="0"/>
        <v>69.650000000000006</v>
      </c>
      <c r="E28" s="8">
        <f t="shared" si="1"/>
        <v>4.2434827002258144</v>
      </c>
      <c r="F28" s="2">
        <v>26.62323300883634</v>
      </c>
      <c r="G28" s="6">
        <v>45.73</v>
      </c>
      <c r="H28">
        <v>0</v>
      </c>
      <c r="I28">
        <v>0</v>
      </c>
    </row>
    <row r="29" spans="1:9" x14ac:dyDescent="0.2">
      <c r="A29" s="1">
        <v>40057</v>
      </c>
      <c r="B29" s="4">
        <v>74.600502014160156</v>
      </c>
      <c r="C29" s="2" t="s">
        <v>31</v>
      </c>
      <c r="D29">
        <f t="shared" si="0"/>
        <v>69.069999999999993</v>
      </c>
      <c r="E29" s="8">
        <f t="shared" si="1"/>
        <v>4.2351204831008813</v>
      </c>
      <c r="F29" s="2">
        <v>10.56428132243156</v>
      </c>
      <c r="G29" s="6">
        <v>43.98</v>
      </c>
      <c r="H29">
        <v>0</v>
      </c>
      <c r="I29">
        <v>0</v>
      </c>
    </row>
    <row r="30" spans="1:9" x14ac:dyDescent="0.2">
      <c r="A30" s="1">
        <v>40087</v>
      </c>
      <c r="B30" s="4">
        <v>81.039466857910156</v>
      </c>
      <c r="C30" s="2" t="s">
        <v>32</v>
      </c>
      <c r="D30">
        <f t="shared" si="0"/>
        <v>75.2</v>
      </c>
      <c r="E30" s="8">
        <f t="shared" si="1"/>
        <v>4.3201512309557941</v>
      </c>
      <c r="F30" s="2">
        <v>13.89402407462903</v>
      </c>
      <c r="G30" s="6">
        <v>41.68</v>
      </c>
      <c r="H30">
        <v>0</v>
      </c>
      <c r="I30">
        <v>0</v>
      </c>
    </row>
    <row r="31" spans="1:9" x14ac:dyDescent="0.2">
      <c r="A31" s="1">
        <v>40118</v>
      </c>
      <c r="B31" s="4">
        <v>66.157524108886719</v>
      </c>
      <c r="C31" s="2" t="s">
        <v>33</v>
      </c>
      <c r="D31">
        <f t="shared" si="0"/>
        <v>78.47</v>
      </c>
      <c r="E31" s="8">
        <f t="shared" si="1"/>
        <v>4.3627163861393816</v>
      </c>
      <c r="F31" s="2">
        <v>25.44941316698333</v>
      </c>
      <c r="G31" s="6">
        <v>38.6</v>
      </c>
      <c r="H31">
        <v>0</v>
      </c>
      <c r="I31">
        <v>0</v>
      </c>
    </row>
    <row r="32" spans="1:9" x14ac:dyDescent="0.2">
      <c r="A32" s="1">
        <v>40148</v>
      </c>
      <c r="B32" s="4">
        <v>84.395980834960938</v>
      </c>
      <c r="C32" s="2" t="s">
        <v>34</v>
      </c>
      <c r="D32">
        <f t="shared" si="0"/>
        <v>77.930000000000007</v>
      </c>
      <c r="E32" s="8">
        <f t="shared" si="1"/>
        <v>4.3558109878554694</v>
      </c>
      <c r="F32" s="2">
        <v>23.41649551130309</v>
      </c>
      <c r="G32" s="6">
        <v>39.590000000000003</v>
      </c>
      <c r="H32">
        <v>0</v>
      </c>
      <c r="I32">
        <v>0</v>
      </c>
    </row>
    <row r="33" spans="1:9" x14ac:dyDescent="0.2">
      <c r="A33" s="1">
        <v>40179</v>
      </c>
      <c r="B33" s="4">
        <v>78.124427795410156</v>
      </c>
      <c r="C33" s="2" t="s">
        <v>35</v>
      </c>
      <c r="D33">
        <f t="shared" si="0"/>
        <v>71.459999999999994</v>
      </c>
      <c r="E33" s="8">
        <f t="shared" si="1"/>
        <v>4.2691378525952635</v>
      </c>
      <c r="F33" s="2">
        <v>88.8947926112739</v>
      </c>
      <c r="G33" s="6">
        <v>32.619999999999997</v>
      </c>
      <c r="H33">
        <v>0</v>
      </c>
      <c r="I33">
        <v>0</v>
      </c>
    </row>
    <row r="34" spans="1:9" x14ac:dyDescent="0.2">
      <c r="A34" s="1">
        <v>40210</v>
      </c>
      <c r="B34" s="4">
        <v>71.459846496582031</v>
      </c>
      <c r="C34" s="2" t="s">
        <v>36</v>
      </c>
      <c r="D34">
        <f t="shared" si="0"/>
        <v>77.59</v>
      </c>
      <c r="E34" s="8">
        <f t="shared" si="1"/>
        <v>4.3514385529058579</v>
      </c>
      <c r="F34" s="2">
        <v>25.569344426017182</v>
      </c>
      <c r="G34" s="6">
        <v>35.49</v>
      </c>
      <c r="H34">
        <v>0</v>
      </c>
      <c r="I34">
        <v>0</v>
      </c>
    </row>
    <row r="35" spans="1:9" x14ac:dyDescent="0.2">
      <c r="A35" s="1">
        <v>40238</v>
      </c>
      <c r="B35" s="4">
        <v>58.709568023681641</v>
      </c>
      <c r="C35" s="2" t="s">
        <v>37</v>
      </c>
      <c r="D35">
        <f t="shared" si="0"/>
        <v>82.7</v>
      </c>
      <c r="E35" s="8">
        <f t="shared" si="1"/>
        <v>4.4152196020296453</v>
      </c>
      <c r="F35" s="2">
        <v>49.982705168375148</v>
      </c>
      <c r="G35" s="6">
        <v>31.95</v>
      </c>
      <c r="H35">
        <v>0</v>
      </c>
      <c r="I35">
        <v>0</v>
      </c>
    </row>
    <row r="36" spans="1:9" x14ac:dyDescent="0.2">
      <c r="A36" s="1">
        <v>40269</v>
      </c>
      <c r="B36" s="4">
        <v>72.484306335449219</v>
      </c>
      <c r="C36" s="2" t="s">
        <v>38</v>
      </c>
      <c r="D36">
        <f t="shared" si="0"/>
        <v>87.44</v>
      </c>
      <c r="E36" s="8">
        <f t="shared" si="1"/>
        <v>4.4709528438682833</v>
      </c>
      <c r="F36" s="2">
        <v>17.375581406492891</v>
      </c>
      <c r="G36" s="6">
        <v>28.38</v>
      </c>
      <c r="H36">
        <v>0</v>
      </c>
      <c r="I36">
        <v>0</v>
      </c>
    </row>
    <row r="37" spans="1:9" x14ac:dyDescent="0.2">
      <c r="A37" s="1">
        <v>40299</v>
      </c>
      <c r="B37" s="4">
        <v>85.672050476074219</v>
      </c>
      <c r="C37" s="2" t="s">
        <v>39</v>
      </c>
      <c r="D37">
        <f t="shared" si="0"/>
        <v>74.650000000000006</v>
      </c>
      <c r="E37" s="8">
        <f t="shared" si="1"/>
        <v>4.312810523985199</v>
      </c>
      <c r="F37" s="2">
        <v>57.623352667808483</v>
      </c>
      <c r="G37" s="6">
        <v>40.4</v>
      </c>
      <c r="H37">
        <v>0</v>
      </c>
      <c r="I37">
        <v>0</v>
      </c>
    </row>
    <row r="38" spans="1:9" x14ac:dyDescent="0.2">
      <c r="A38" s="1">
        <v>40330</v>
      </c>
      <c r="B38" s="4">
        <v>95.871017456054688</v>
      </c>
      <c r="C38" s="2" t="s">
        <v>40</v>
      </c>
      <c r="D38">
        <f t="shared" si="0"/>
        <v>75.010000000000005</v>
      </c>
      <c r="E38" s="8">
        <f t="shared" si="1"/>
        <v>4.3176214379815452</v>
      </c>
      <c r="F38" s="2">
        <v>47.270356971825557</v>
      </c>
      <c r="G38" s="6">
        <v>39.630000000000003</v>
      </c>
      <c r="H38">
        <v>0</v>
      </c>
      <c r="I38">
        <v>0</v>
      </c>
    </row>
    <row r="39" spans="1:9" x14ac:dyDescent="0.2">
      <c r="A39" s="1">
        <v>40360</v>
      </c>
      <c r="B39" s="4">
        <v>66.178207397460938</v>
      </c>
      <c r="C39" s="2" t="s">
        <v>41</v>
      </c>
      <c r="D39">
        <f t="shared" si="0"/>
        <v>78.180000000000007</v>
      </c>
      <c r="E39" s="8">
        <f t="shared" si="1"/>
        <v>4.3590138603648088</v>
      </c>
      <c r="F39" s="2">
        <v>53.776313106573561</v>
      </c>
      <c r="G39" s="6">
        <v>34.5</v>
      </c>
      <c r="H39">
        <v>0</v>
      </c>
      <c r="I39">
        <v>0</v>
      </c>
    </row>
    <row r="40" spans="1:9" x14ac:dyDescent="0.2">
      <c r="A40" s="1">
        <v>40391</v>
      </c>
      <c r="B40" s="4">
        <v>74.393302917480469</v>
      </c>
      <c r="C40" s="2" t="s">
        <v>42</v>
      </c>
      <c r="D40">
        <f t="shared" si="0"/>
        <v>74.64</v>
      </c>
      <c r="E40" s="8">
        <f t="shared" si="1"/>
        <v>4.3126765565390883</v>
      </c>
      <c r="F40" s="2">
        <v>72.221640560514658</v>
      </c>
      <c r="G40" s="6">
        <v>33.18</v>
      </c>
      <c r="H40">
        <v>0</v>
      </c>
      <c r="I40">
        <v>0</v>
      </c>
    </row>
    <row r="41" spans="1:9" x14ac:dyDescent="0.2">
      <c r="A41" s="1">
        <v>40422</v>
      </c>
      <c r="B41" s="4">
        <v>63.366771697998047</v>
      </c>
      <c r="C41" s="2" t="s">
        <v>43</v>
      </c>
      <c r="D41">
        <f t="shared" si="0"/>
        <v>82.31</v>
      </c>
      <c r="E41" s="8">
        <f t="shared" si="1"/>
        <v>4.4104926069845529</v>
      </c>
      <c r="F41" s="2">
        <v>60.649333845522882</v>
      </c>
      <c r="G41" s="6">
        <v>31.71</v>
      </c>
      <c r="H41">
        <v>0</v>
      </c>
      <c r="I41">
        <v>0</v>
      </c>
    </row>
    <row r="42" spans="1:9" x14ac:dyDescent="0.2">
      <c r="A42" s="1">
        <v>40452</v>
      </c>
      <c r="B42" s="4">
        <v>57.812389373779297</v>
      </c>
      <c r="C42" s="2" t="s">
        <v>44</v>
      </c>
      <c r="D42">
        <f t="shared" si="0"/>
        <v>83.15</v>
      </c>
      <c r="E42" s="8">
        <f t="shared" si="1"/>
        <v>4.4206462056389366</v>
      </c>
      <c r="F42" s="2">
        <v>119.903237455964</v>
      </c>
      <c r="G42" s="6">
        <v>32.380000000000003</v>
      </c>
      <c r="H42">
        <v>0</v>
      </c>
      <c r="I42">
        <v>0</v>
      </c>
    </row>
    <row r="43" spans="1:9" x14ac:dyDescent="0.2">
      <c r="A43" s="1">
        <v>40483</v>
      </c>
      <c r="B43" s="4">
        <v>82.315597534179688</v>
      </c>
      <c r="C43" s="2" t="s">
        <v>45</v>
      </c>
      <c r="D43">
        <f t="shared" si="0"/>
        <v>85.92</v>
      </c>
      <c r="E43" s="8">
        <f t="shared" si="1"/>
        <v>4.4534166307605547</v>
      </c>
      <c r="F43" s="2">
        <v>69.206822540827119</v>
      </c>
      <c r="G43" s="6">
        <v>31.25</v>
      </c>
      <c r="H43">
        <v>0</v>
      </c>
      <c r="I43">
        <v>0</v>
      </c>
    </row>
    <row r="44" spans="1:9" x14ac:dyDescent="0.2">
      <c r="A44" s="1">
        <v>40513</v>
      </c>
      <c r="B44" s="4">
        <v>79.67950439453125</v>
      </c>
      <c r="C44" s="2" t="s">
        <v>46</v>
      </c>
      <c r="D44">
        <f t="shared" si="0"/>
        <v>94.75</v>
      </c>
      <c r="E44" s="8">
        <f t="shared" si="1"/>
        <v>4.5512418439625355</v>
      </c>
      <c r="F44" s="2">
        <v>77.95711044828802</v>
      </c>
      <c r="G44" s="6">
        <v>28.9</v>
      </c>
      <c r="H44">
        <v>0</v>
      </c>
      <c r="I44">
        <v>0</v>
      </c>
    </row>
    <row r="45" spans="1:9" x14ac:dyDescent="0.2">
      <c r="A45" s="1">
        <v>40544</v>
      </c>
      <c r="B45" s="4">
        <v>67.254623413085938</v>
      </c>
      <c r="C45" s="2" t="s">
        <v>47</v>
      </c>
      <c r="D45">
        <f t="shared" si="0"/>
        <v>101.01</v>
      </c>
      <c r="E45" s="8">
        <f t="shared" si="1"/>
        <v>4.6152195218410927</v>
      </c>
      <c r="F45" s="2">
        <v>86.634817998188709</v>
      </c>
      <c r="G45" s="6">
        <v>28.88</v>
      </c>
      <c r="H45">
        <v>0</v>
      </c>
      <c r="I45">
        <v>0</v>
      </c>
    </row>
    <row r="46" spans="1:9" x14ac:dyDescent="0.2">
      <c r="A46" s="1">
        <v>40575</v>
      </c>
      <c r="B46" s="4">
        <v>70.897575378417969</v>
      </c>
      <c r="C46" s="2" t="s">
        <v>48</v>
      </c>
      <c r="D46">
        <f t="shared" si="0"/>
        <v>111.8</v>
      </c>
      <c r="E46" s="8">
        <f t="shared" si="1"/>
        <v>4.7167115607209986</v>
      </c>
      <c r="F46" s="2">
        <v>31.931584788140569</v>
      </c>
      <c r="G46" s="6">
        <v>33.71</v>
      </c>
      <c r="H46">
        <v>0</v>
      </c>
      <c r="I46">
        <v>0</v>
      </c>
    </row>
    <row r="47" spans="1:9" x14ac:dyDescent="0.2">
      <c r="A47" s="1">
        <v>40603</v>
      </c>
      <c r="B47" s="4">
        <v>101.09650421142578</v>
      </c>
      <c r="C47" s="2" t="s">
        <v>49</v>
      </c>
      <c r="D47">
        <f t="shared" si="0"/>
        <v>117.36</v>
      </c>
      <c r="E47" s="8">
        <f t="shared" si="1"/>
        <v>4.7652461338347258</v>
      </c>
      <c r="F47" s="2">
        <v>64.001424564539533</v>
      </c>
      <c r="G47" s="6">
        <v>39.85</v>
      </c>
      <c r="H47">
        <v>0</v>
      </c>
      <c r="I47">
        <v>0</v>
      </c>
    </row>
    <row r="48" spans="1:9" x14ac:dyDescent="0.2">
      <c r="A48" s="1">
        <v>40634</v>
      </c>
      <c r="B48" s="4">
        <v>76.116172790527344</v>
      </c>
      <c r="C48" s="2" t="s">
        <v>50</v>
      </c>
      <c r="D48">
        <f t="shared" si="0"/>
        <v>125.89</v>
      </c>
      <c r="E48" s="8">
        <f t="shared" si="1"/>
        <v>4.8354085097781683</v>
      </c>
      <c r="F48" s="2">
        <v>27.715049774084878</v>
      </c>
      <c r="G48" s="6">
        <v>31.96</v>
      </c>
      <c r="H48">
        <v>0</v>
      </c>
      <c r="I48">
        <v>0</v>
      </c>
    </row>
    <row r="49" spans="1:9" x14ac:dyDescent="0.2">
      <c r="A49" s="1">
        <v>40664</v>
      </c>
      <c r="B49" s="4">
        <v>90.701347351074219</v>
      </c>
      <c r="C49" s="2" t="s">
        <v>51</v>
      </c>
      <c r="D49">
        <f t="shared" si="0"/>
        <v>116.73</v>
      </c>
      <c r="E49" s="8">
        <f t="shared" si="1"/>
        <v>4.7598635756645722</v>
      </c>
      <c r="F49" s="2">
        <v>27.715049774084878</v>
      </c>
      <c r="G49" s="6">
        <v>37.659999999999997</v>
      </c>
      <c r="H49">
        <v>0</v>
      </c>
      <c r="I49">
        <v>0</v>
      </c>
    </row>
    <row r="50" spans="1:9" x14ac:dyDescent="0.2">
      <c r="A50" s="1">
        <v>40695</v>
      </c>
      <c r="B50" s="4">
        <v>77.343254089355469</v>
      </c>
      <c r="C50" s="2" t="s">
        <v>52</v>
      </c>
      <c r="D50">
        <f t="shared" si="0"/>
        <v>112.48</v>
      </c>
      <c r="E50" s="8">
        <f t="shared" si="1"/>
        <v>4.7227754280623548</v>
      </c>
      <c r="F50" s="2">
        <v>118.54931331280601</v>
      </c>
      <c r="G50" s="6">
        <v>34</v>
      </c>
      <c r="H50">
        <v>0</v>
      </c>
      <c r="I50">
        <v>0</v>
      </c>
    </row>
    <row r="51" spans="1:9" x14ac:dyDescent="0.2">
      <c r="A51" s="1">
        <v>40725</v>
      </c>
      <c r="B51" s="4">
        <v>68.413749694824219</v>
      </c>
      <c r="C51" s="2" t="s">
        <v>53</v>
      </c>
      <c r="D51">
        <f t="shared" si="0"/>
        <v>116.74</v>
      </c>
      <c r="E51" s="8">
        <f t="shared" si="1"/>
        <v>4.7599492397756453</v>
      </c>
      <c r="F51" s="2">
        <v>74.266387344939119</v>
      </c>
      <c r="G51" s="6">
        <v>31.96</v>
      </c>
      <c r="H51">
        <v>0</v>
      </c>
      <c r="I51">
        <v>0</v>
      </c>
    </row>
    <row r="52" spans="1:9" x14ac:dyDescent="0.2">
      <c r="A52" s="1">
        <v>40756</v>
      </c>
      <c r="B52" s="4">
        <v>71.489616394042969</v>
      </c>
      <c r="C52" s="2" t="s">
        <v>54</v>
      </c>
      <c r="D52">
        <f t="shared" si="0"/>
        <v>114.85</v>
      </c>
      <c r="E52" s="8">
        <f t="shared" si="1"/>
        <v>4.7436269291351074</v>
      </c>
      <c r="F52" s="2">
        <v>66.370824308267231</v>
      </c>
      <c r="G52" s="6">
        <v>47.47</v>
      </c>
      <c r="H52">
        <v>0</v>
      </c>
      <c r="I52">
        <v>0</v>
      </c>
    </row>
    <row r="53" spans="1:9" x14ac:dyDescent="0.2">
      <c r="A53" s="1">
        <v>40787</v>
      </c>
      <c r="B53" s="4">
        <v>72.504035949707031</v>
      </c>
      <c r="C53" s="2" t="s">
        <v>55</v>
      </c>
      <c r="D53">
        <f t="shared" si="0"/>
        <v>102.76</v>
      </c>
      <c r="E53" s="8">
        <f t="shared" si="1"/>
        <v>4.6323961722416831</v>
      </c>
      <c r="F53" s="2">
        <v>178.5875636122361</v>
      </c>
      <c r="G53" s="6">
        <v>48.09</v>
      </c>
      <c r="H53">
        <v>0</v>
      </c>
      <c r="I53">
        <v>0</v>
      </c>
    </row>
    <row r="54" spans="1:9" x14ac:dyDescent="0.2">
      <c r="A54" s="1">
        <v>40817</v>
      </c>
      <c r="B54" s="4">
        <v>66.210067749023438</v>
      </c>
      <c r="C54" s="2" t="s">
        <v>56</v>
      </c>
      <c r="D54">
        <f t="shared" si="0"/>
        <v>109.56</v>
      </c>
      <c r="E54" s="8">
        <f t="shared" si="1"/>
        <v>4.696472344394877</v>
      </c>
      <c r="F54" s="2">
        <v>113.82279494272611</v>
      </c>
      <c r="G54" s="6">
        <v>48.52</v>
      </c>
      <c r="H54">
        <v>0</v>
      </c>
      <c r="I54">
        <v>0</v>
      </c>
    </row>
    <row r="55" spans="1:9" x14ac:dyDescent="0.2">
      <c r="A55" s="1">
        <v>40848</v>
      </c>
      <c r="B55" s="4">
        <v>70.880195617675781</v>
      </c>
      <c r="C55" s="2" t="s">
        <v>57</v>
      </c>
      <c r="D55">
        <f t="shared" si="0"/>
        <v>110.52</v>
      </c>
      <c r="E55" s="8">
        <f t="shared" si="1"/>
        <v>4.7051965000552158</v>
      </c>
      <c r="F55" s="2">
        <v>43.317408999094347</v>
      </c>
      <c r="G55" s="6">
        <v>45.59</v>
      </c>
      <c r="H55">
        <v>0</v>
      </c>
      <c r="I55">
        <v>0</v>
      </c>
    </row>
    <row r="56" spans="1:9" x14ac:dyDescent="0.2">
      <c r="A56" s="1">
        <v>40878</v>
      </c>
      <c r="B56" s="4">
        <v>75.746604919433594</v>
      </c>
      <c r="C56" s="2" t="s">
        <v>58</v>
      </c>
      <c r="D56">
        <f t="shared" si="0"/>
        <v>107.38</v>
      </c>
      <c r="E56" s="8">
        <f t="shared" si="1"/>
        <v>4.676373944994423</v>
      </c>
      <c r="F56" s="2">
        <v>52.831693156775522</v>
      </c>
      <c r="G56" s="6">
        <v>39.4</v>
      </c>
      <c r="H56">
        <v>0</v>
      </c>
      <c r="I56">
        <v>0</v>
      </c>
    </row>
    <row r="57" spans="1:9" x14ac:dyDescent="0.2">
      <c r="A57" s="1">
        <v>40909</v>
      </c>
      <c r="B57" s="4">
        <v>68.267868041992188</v>
      </c>
      <c r="C57" s="2" t="s">
        <v>59</v>
      </c>
      <c r="D57">
        <f t="shared" si="0"/>
        <v>110.98</v>
      </c>
      <c r="E57" s="8">
        <f t="shared" si="1"/>
        <v>4.7093500048977548</v>
      </c>
      <c r="F57" s="2">
        <v>102.9607960668765</v>
      </c>
      <c r="G57" s="6">
        <v>34.700000000000003</v>
      </c>
      <c r="H57">
        <v>0</v>
      </c>
      <c r="I57">
        <v>0</v>
      </c>
    </row>
    <row r="58" spans="1:9" x14ac:dyDescent="0.2">
      <c r="A58" s="1">
        <v>40940</v>
      </c>
      <c r="B58" s="4">
        <v>76.550041198730469</v>
      </c>
      <c r="C58" s="2" t="s">
        <v>60</v>
      </c>
      <c r="D58">
        <f t="shared" si="0"/>
        <v>122.66</v>
      </c>
      <c r="E58" s="8">
        <f t="shared" si="1"/>
        <v>4.8094163001978378</v>
      </c>
      <c r="F58" s="2">
        <v>25.403260083849581</v>
      </c>
      <c r="G58" s="6">
        <v>33.01</v>
      </c>
      <c r="H58">
        <v>0</v>
      </c>
      <c r="I58">
        <v>0</v>
      </c>
    </row>
    <row r="59" spans="1:9" x14ac:dyDescent="0.2">
      <c r="A59" s="1">
        <v>40969</v>
      </c>
      <c r="B59" s="4">
        <v>74.996238708496094</v>
      </c>
      <c r="C59" s="2" t="s">
        <v>61</v>
      </c>
      <c r="D59">
        <f t="shared" si="0"/>
        <v>122.88</v>
      </c>
      <c r="E59" s="8">
        <f t="shared" si="1"/>
        <v>4.8112082693993621</v>
      </c>
      <c r="F59" s="2">
        <v>27.313968995357421</v>
      </c>
      <c r="G59" s="6">
        <v>29.81</v>
      </c>
      <c r="H59">
        <v>0</v>
      </c>
      <c r="I59">
        <v>0</v>
      </c>
    </row>
    <row r="60" spans="1:9" x14ac:dyDescent="0.2">
      <c r="A60" s="1">
        <v>41000</v>
      </c>
      <c r="B60" s="4">
        <v>78.8109130859375</v>
      </c>
      <c r="C60" s="2" t="s">
        <v>62</v>
      </c>
      <c r="D60">
        <f t="shared" si="0"/>
        <v>119.47</v>
      </c>
      <c r="E60" s="8">
        <f t="shared" si="1"/>
        <v>4.7830652938291323</v>
      </c>
      <c r="F60" s="2">
        <v>46.408485105579082</v>
      </c>
      <c r="G60" s="6">
        <v>27.97</v>
      </c>
      <c r="H60">
        <v>0</v>
      </c>
      <c r="I60">
        <v>0</v>
      </c>
    </row>
    <row r="61" spans="1:9" x14ac:dyDescent="0.2">
      <c r="A61" s="1">
        <v>41030</v>
      </c>
      <c r="B61" s="4">
        <v>70.232490539550781</v>
      </c>
      <c r="C61" s="2" t="s">
        <v>63</v>
      </c>
      <c r="D61">
        <f t="shared" si="0"/>
        <v>101.43</v>
      </c>
      <c r="E61" s="8">
        <f t="shared" si="1"/>
        <v>4.6193689053879048</v>
      </c>
      <c r="F61" s="2">
        <v>18.78744767036304</v>
      </c>
      <c r="G61" s="6">
        <v>30.11</v>
      </c>
      <c r="H61">
        <v>0</v>
      </c>
      <c r="I61">
        <v>0</v>
      </c>
    </row>
    <row r="62" spans="1:9" x14ac:dyDescent="0.2">
      <c r="A62" s="1">
        <v>41061</v>
      </c>
      <c r="B62" s="4">
        <v>61.874813079833984</v>
      </c>
      <c r="C62" s="2" t="s">
        <v>64</v>
      </c>
      <c r="D62">
        <f t="shared" si="0"/>
        <v>97.88</v>
      </c>
      <c r="E62" s="8">
        <f t="shared" si="1"/>
        <v>4.5837422385744713</v>
      </c>
      <c r="F62" s="2">
        <v>34.211480362223071</v>
      </c>
      <c r="G62" s="6">
        <v>36.65</v>
      </c>
      <c r="H62">
        <v>0</v>
      </c>
      <c r="I62">
        <v>0</v>
      </c>
    </row>
    <row r="63" spans="1:9" x14ac:dyDescent="0.2">
      <c r="A63" s="1">
        <v>41091</v>
      </c>
      <c r="B63" s="4">
        <v>67.4638671875</v>
      </c>
      <c r="C63" s="2" t="s">
        <v>65</v>
      </c>
      <c r="D63">
        <f t="shared" si="0"/>
        <v>103.84</v>
      </c>
      <c r="E63" s="8">
        <f t="shared" si="1"/>
        <v>4.6428512529557802</v>
      </c>
      <c r="F63" s="2">
        <v>50.939261490537859</v>
      </c>
      <c r="G63" s="6">
        <v>35.58</v>
      </c>
      <c r="H63">
        <v>0</v>
      </c>
      <c r="I63">
        <v>0</v>
      </c>
    </row>
    <row r="64" spans="1:9" x14ac:dyDescent="0.2">
      <c r="A64" s="1">
        <v>41122</v>
      </c>
      <c r="B64" s="4">
        <v>68.635986328125</v>
      </c>
      <c r="C64" s="2" t="s">
        <v>18</v>
      </c>
      <c r="D64">
        <f t="shared" si="0"/>
        <v>114.05</v>
      </c>
      <c r="E64" s="8">
        <f t="shared" si="1"/>
        <v>4.7366369487303972</v>
      </c>
      <c r="F64" s="2">
        <v>43.686110202905361</v>
      </c>
      <c r="G64" s="6">
        <v>31.72</v>
      </c>
      <c r="H64">
        <v>0</v>
      </c>
      <c r="I64">
        <v>0</v>
      </c>
    </row>
    <row r="65" spans="1:9" x14ac:dyDescent="0.2">
      <c r="A65" s="1">
        <v>41153</v>
      </c>
      <c r="B65" s="4">
        <v>61.441925048828125</v>
      </c>
      <c r="C65" s="2" t="s">
        <v>66</v>
      </c>
      <c r="D65">
        <f t="shared" si="0"/>
        <v>111.58</v>
      </c>
      <c r="E65" s="8">
        <f t="shared" si="1"/>
        <v>4.7147418224173823</v>
      </c>
      <c r="F65" s="2">
        <v>59.662305424458609</v>
      </c>
      <c r="G65" s="6">
        <v>33.869999999999997</v>
      </c>
      <c r="H65">
        <v>0</v>
      </c>
      <c r="I65">
        <v>0</v>
      </c>
    </row>
    <row r="66" spans="1:9" x14ac:dyDescent="0.2">
      <c r="A66" s="1">
        <v>41183</v>
      </c>
      <c r="B66" s="4">
        <v>69.4249267578125</v>
      </c>
      <c r="C66" s="2" t="s">
        <v>67</v>
      </c>
      <c r="D66">
        <f t="shared" ref="D66:D129" si="2">SUBSTITUTE(C66,".",",")*1</f>
        <v>107.56</v>
      </c>
      <c r="E66" s="8">
        <f t="shared" si="1"/>
        <v>4.6780488314006643</v>
      </c>
      <c r="F66" s="2">
        <v>82.021743515851313</v>
      </c>
      <c r="G66" s="6">
        <v>33.270000000000003</v>
      </c>
      <c r="H66">
        <v>0</v>
      </c>
      <c r="I66">
        <v>0</v>
      </c>
    </row>
    <row r="67" spans="1:9" x14ac:dyDescent="0.2">
      <c r="A67" s="1">
        <v>41214</v>
      </c>
      <c r="B67" s="4">
        <v>67.280075073242188</v>
      </c>
      <c r="C67" s="2" t="s">
        <v>68</v>
      </c>
      <c r="D67">
        <f t="shared" si="2"/>
        <v>110.25</v>
      </c>
      <c r="E67" s="8">
        <f t="shared" ref="E67:E130" si="3">LN(D67)</f>
        <v>4.7027505143269552</v>
      </c>
      <c r="F67" s="2">
        <v>11.236362837973919</v>
      </c>
      <c r="G67" s="6">
        <v>30.65</v>
      </c>
      <c r="H67">
        <v>0</v>
      </c>
      <c r="I67">
        <v>0</v>
      </c>
    </row>
    <row r="68" spans="1:9" x14ac:dyDescent="0.2">
      <c r="A68" s="1">
        <v>41244</v>
      </c>
      <c r="B68" s="4">
        <v>65.622200012207031</v>
      </c>
      <c r="C68" s="2" t="s">
        <v>69</v>
      </c>
      <c r="D68">
        <f t="shared" si="2"/>
        <v>109.89</v>
      </c>
      <c r="E68" s="8">
        <f t="shared" si="3"/>
        <v>4.6994798654588328</v>
      </c>
      <c r="F68" s="2">
        <v>34.212079441899377</v>
      </c>
      <c r="G68" s="6">
        <v>28.95</v>
      </c>
      <c r="H68">
        <v>0</v>
      </c>
      <c r="I68">
        <v>0</v>
      </c>
    </row>
    <row r="69" spans="1:9" x14ac:dyDescent="0.2">
      <c r="A69" s="1">
        <v>41275</v>
      </c>
      <c r="B69" s="4">
        <v>70.866600036621094</v>
      </c>
      <c r="C69" s="2" t="s">
        <v>70</v>
      </c>
      <c r="D69">
        <f t="shared" si="2"/>
        <v>114.54</v>
      </c>
      <c r="E69" s="8">
        <f t="shared" si="3"/>
        <v>4.7409241069657115</v>
      </c>
      <c r="F69" s="2">
        <v>20.046114115274062</v>
      </c>
      <c r="G69" s="6">
        <v>24.11</v>
      </c>
      <c r="H69">
        <v>0</v>
      </c>
      <c r="I69">
        <v>0</v>
      </c>
    </row>
    <row r="70" spans="1:9" x14ac:dyDescent="0.2">
      <c r="A70" s="1">
        <v>41306</v>
      </c>
      <c r="B70" s="4">
        <v>72.405815124511719</v>
      </c>
      <c r="C70" s="2" t="s">
        <v>71</v>
      </c>
      <c r="D70">
        <f t="shared" si="2"/>
        <v>110.42</v>
      </c>
      <c r="E70" s="8">
        <f t="shared" si="3"/>
        <v>4.7042912768558987</v>
      </c>
      <c r="F70" s="2">
        <v>35.527041854462531</v>
      </c>
      <c r="G70" s="6">
        <v>23.4</v>
      </c>
      <c r="H70">
        <v>0</v>
      </c>
      <c r="I70">
        <v>0</v>
      </c>
    </row>
    <row r="71" spans="1:9" x14ac:dyDescent="0.2">
      <c r="A71" s="1">
        <v>41334</v>
      </c>
      <c r="B71" s="4">
        <v>55.701545715332031</v>
      </c>
      <c r="C71" s="2" t="s">
        <v>72</v>
      </c>
      <c r="D71">
        <f t="shared" si="2"/>
        <v>110.02</v>
      </c>
      <c r="E71" s="8">
        <f t="shared" si="3"/>
        <v>4.7006621674473124</v>
      </c>
      <c r="F71" s="2">
        <v>28.561545810500078</v>
      </c>
      <c r="G71" s="6">
        <v>20.07</v>
      </c>
      <c r="H71">
        <v>0</v>
      </c>
      <c r="I71">
        <v>0</v>
      </c>
    </row>
    <row r="72" spans="1:9" x14ac:dyDescent="0.2">
      <c r="A72" s="1">
        <v>41365</v>
      </c>
      <c r="B72" s="4">
        <v>76.689697265625</v>
      </c>
      <c r="C72" s="2" t="s">
        <v>73</v>
      </c>
      <c r="D72">
        <f t="shared" si="2"/>
        <v>102.37</v>
      </c>
      <c r="E72" s="8">
        <f t="shared" si="3"/>
        <v>4.6285937009316793</v>
      </c>
      <c r="F72" s="2">
        <v>32.310760296380579</v>
      </c>
      <c r="G72" s="6">
        <v>23.63</v>
      </c>
      <c r="H72">
        <v>0</v>
      </c>
      <c r="I72">
        <v>0</v>
      </c>
    </row>
    <row r="73" spans="1:9" x14ac:dyDescent="0.2">
      <c r="A73" s="1">
        <v>41395</v>
      </c>
      <c r="B73" s="4">
        <v>73.346099853515625</v>
      </c>
      <c r="C73" s="2" t="s">
        <v>74</v>
      </c>
      <c r="D73">
        <f t="shared" si="2"/>
        <v>100.39</v>
      </c>
      <c r="E73" s="8">
        <f t="shared" si="3"/>
        <v>4.6090626007034352</v>
      </c>
      <c r="F73" s="2">
        <v>22.428136934527309</v>
      </c>
      <c r="G73" s="6">
        <v>23.88</v>
      </c>
      <c r="H73">
        <v>0</v>
      </c>
      <c r="I73">
        <v>0</v>
      </c>
    </row>
    <row r="74" spans="1:9" x14ac:dyDescent="0.2">
      <c r="A74" s="1">
        <v>41426</v>
      </c>
      <c r="B74" s="4">
        <v>71.183921813964844</v>
      </c>
      <c r="C74" s="2" t="s">
        <v>75</v>
      </c>
      <c r="D74">
        <f t="shared" si="2"/>
        <v>102.16</v>
      </c>
      <c r="E74" s="8">
        <f t="shared" si="3"/>
        <v>4.6265402117242838</v>
      </c>
      <c r="F74" s="2">
        <v>57.178886153337388</v>
      </c>
      <c r="G74" s="6">
        <v>22.84</v>
      </c>
      <c r="H74">
        <v>0</v>
      </c>
      <c r="I74">
        <v>0</v>
      </c>
    </row>
    <row r="75" spans="1:9" x14ac:dyDescent="0.2">
      <c r="A75" s="1">
        <v>41456</v>
      </c>
      <c r="B75" s="4">
        <v>58.958736419677734</v>
      </c>
      <c r="C75" s="2" t="s">
        <v>76</v>
      </c>
      <c r="D75">
        <f t="shared" si="2"/>
        <v>107.7</v>
      </c>
      <c r="E75" s="8">
        <f t="shared" si="3"/>
        <v>4.6793495841623427</v>
      </c>
      <c r="F75" s="2">
        <v>52.832339873413282</v>
      </c>
      <c r="G75" s="6">
        <v>24.05</v>
      </c>
      <c r="H75">
        <v>0</v>
      </c>
      <c r="I75">
        <v>0</v>
      </c>
    </row>
    <row r="76" spans="1:9" x14ac:dyDescent="0.2">
      <c r="A76" s="1">
        <v>41487</v>
      </c>
      <c r="B76" s="4">
        <v>71.750518798828125</v>
      </c>
      <c r="C76" s="2" t="s">
        <v>77</v>
      </c>
      <c r="D76">
        <f t="shared" si="2"/>
        <v>114.01</v>
      </c>
      <c r="E76" s="8">
        <f t="shared" si="3"/>
        <v>4.7362861638456284</v>
      </c>
      <c r="F76" s="2">
        <v>33.213236401457088</v>
      </c>
      <c r="G76" s="6">
        <v>24</v>
      </c>
      <c r="H76">
        <v>0</v>
      </c>
      <c r="I76">
        <v>0</v>
      </c>
    </row>
    <row r="77" spans="1:9" x14ac:dyDescent="0.2">
      <c r="A77" s="1">
        <v>41518</v>
      </c>
      <c r="B77" s="4">
        <v>85.778831481933594</v>
      </c>
      <c r="C77" s="2" t="s">
        <v>78</v>
      </c>
      <c r="D77">
        <f t="shared" si="2"/>
        <v>108.37</v>
      </c>
      <c r="E77" s="8">
        <f t="shared" si="3"/>
        <v>4.6855512979349037</v>
      </c>
      <c r="F77" s="2">
        <v>84.692455265030105</v>
      </c>
      <c r="G77" s="6">
        <v>24.27</v>
      </c>
      <c r="H77">
        <v>0</v>
      </c>
      <c r="I77">
        <v>0</v>
      </c>
    </row>
    <row r="78" spans="1:9" x14ac:dyDescent="0.2">
      <c r="A78" s="1">
        <v>41548</v>
      </c>
      <c r="B78" s="4">
        <v>64.701835632324219</v>
      </c>
      <c r="C78" s="2" t="s">
        <v>79</v>
      </c>
      <c r="D78">
        <f t="shared" si="2"/>
        <v>108.84</v>
      </c>
      <c r="E78" s="8">
        <f t="shared" si="3"/>
        <v>4.6898789139150452</v>
      </c>
      <c r="F78" s="2">
        <v>15.5914220896576</v>
      </c>
      <c r="G78" s="6">
        <v>21.62</v>
      </c>
      <c r="H78">
        <v>0</v>
      </c>
      <c r="I78">
        <v>0</v>
      </c>
    </row>
    <row r="79" spans="1:9" x14ac:dyDescent="0.2">
      <c r="A79" s="1">
        <v>41579</v>
      </c>
      <c r="B79" s="4">
        <v>68.734123229980469</v>
      </c>
      <c r="C79" s="2" t="s">
        <v>80</v>
      </c>
      <c r="D79">
        <f t="shared" si="2"/>
        <v>109.69</v>
      </c>
      <c r="E79" s="8">
        <f t="shared" si="3"/>
        <v>4.6976582054232425</v>
      </c>
      <c r="F79" s="2">
        <v>26.842532838186841</v>
      </c>
      <c r="G79" s="6">
        <v>19.97</v>
      </c>
      <c r="H79">
        <v>0</v>
      </c>
      <c r="I79">
        <v>0</v>
      </c>
    </row>
    <row r="80" spans="1:9" x14ac:dyDescent="0.2">
      <c r="A80" s="1">
        <v>41609</v>
      </c>
      <c r="B80" s="4">
        <v>70.187110900878906</v>
      </c>
      <c r="C80" s="2" t="s">
        <v>81</v>
      </c>
      <c r="D80">
        <f t="shared" si="2"/>
        <v>110.8</v>
      </c>
      <c r="E80" s="8">
        <f t="shared" si="3"/>
        <v>4.7077267743131834</v>
      </c>
      <c r="F80" s="2">
        <v>17.871691450547399</v>
      </c>
      <c r="G80" s="6">
        <v>17.47</v>
      </c>
      <c r="H80">
        <v>0</v>
      </c>
      <c r="I80">
        <v>0</v>
      </c>
    </row>
    <row r="81" spans="1:9" x14ac:dyDescent="0.2">
      <c r="A81" s="1">
        <v>41640</v>
      </c>
      <c r="B81" s="4">
        <v>71.980216979980469</v>
      </c>
      <c r="C81" s="2" t="s">
        <v>82</v>
      </c>
      <c r="D81">
        <f t="shared" si="2"/>
        <v>106.4</v>
      </c>
      <c r="E81" s="8">
        <f t="shared" si="3"/>
        <v>4.667205576907544</v>
      </c>
      <c r="F81" s="2">
        <v>42.482418865161698</v>
      </c>
      <c r="G81" s="6">
        <v>19.57</v>
      </c>
      <c r="H81">
        <v>0</v>
      </c>
      <c r="I81">
        <v>0</v>
      </c>
    </row>
    <row r="82" spans="1:9" x14ac:dyDescent="0.2">
      <c r="A82" s="1">
        <v>41671</v>
      </c>
      <c r="B82" s="4">
        <v>63.780696868896484</v>
      </c>
      <c r="C82" s="2" t="s">
        <v>83</v>
      </c>
      <c r="D82">
        <f t="shared" si="2"/>
        <v>109.07</v>
      </c>
      <c r="E82" s="8">
        <f t="shared" si="3"/>
        <v>4.6919898779406513</v>
      </c>
      <c r="F82" s="2">
        <v>185.26766344704299</v>
      </c>
      <c r="G82" s="6">
        <v>19.04</v>
      </c>
      <c r="H82">
        <v>0</v>
      </c>
      <c r="I82">
        <v>0</v>
      </c>
    </row>
    <row r="83" spans="1:9" x14ac:dyDescent="0.2">
      <c r="A83" s="1">
        <v>41699</v>
      </c>
      <c r="B83" s="4">
        <v>92.215080261230469</v>
      </c>
      <c r="C83" s="2" t="s">
        <v>84</v>
      </c>
      <c r="D83">
        <f t="shared" si="2"/>
        <v>107.76</v>
      </c>
      <c r="E83" s="8">
        <f t="shared" si="3"/>
        <v>4.6799065321021089</v>
      </c>
      <c r="F83" s="2">
        <v>167.8730782922803</v>
      </c>
      <c r="G83" s="6">
        <v>20.03</v>
      </c>
      <c r="H83">
        <v>0</v>
      </c>
      <c r="I83">
        <v>0</v>
      </c>
    </row>
    <row r="84" spans="1:9" x14ac:dyDescent="0.2">
      <c r="A84" s="1">
        <v>41730</v>
      </c>
      <c r="B84" s="4">
        <v>75.93310546875</v>
      </c>
      <c r="C84" s="2" t="s">
        <v>85</v>
      </c>
      <c r="D84">
        <f t="shared" si="2"/>
        <v>108.07</v>
      </c>
      <c r="E84" s="8">
        <f t="shared" si="3"/>
        <v>4.6827791653150745</v>
      </c>
      <c r="F84" s="2">
        <v>28.51307035811687</v>
      </c>
      <c r="G84" s="6">
        <v>18.809999999999999</v>
      </c>
      <c r="H84">
        <v>0</v>
      </c>
      <c r="I84">
        <v>0</v>
      </c>
    </row>
    <row r="85" spans="1:9" x14ac:dyDescent="0.2">
      <c r="A85" s="1">
        <v>41760</v>
      </c>
      <c r="B85" s="4">
        <v>73.123130798339844</v>
      </c>
      <c r="C85" s="2" t="s">
        <v>86</v>
      </c>
      <c r="D85">
        <f t="shared" si="2"/>
        <v>108.68</v>
      </c>
      <c r="E85" s="8">
        <f t="shared" si="3"/>
        <v>4.6884077845581471</v>
      </c>
      <c r="F85" s="2">
        <v>18.71843317022573</v>
      </c>
      <c r="G85" s="6">
        <v>16.68</v>
      </c>
      <c r="H85">
        <v>0</v>
      </c>
      <c r="I85">
        <v>0</v>
      </c>
    </row>
    <row r="86" spans="1:9" x14ac:dyDescent="0.2">
      <c r="A86" s="1">
        <v>41791</v>
      </c>
      <c r="B86" s="4">
        <v>82.331840515136719</v>
      </c>
      <c r="C86" s="2" t="s">
        <v>87</v>
      </c>
      <c r="D86">
        <f t="shared" si="2"/>
        <v>112.07</v>
      </c>
      <c r="E86" s="8">
        <f t="shared" si="3"/>
        <v>4.7191236760639361</v>
      </c>
      <c r="F86" s="2">
        <v>15.211177617445861</v>
      </c>
      <c r="G86" s="6">
        <v>16.829999999999998</v>
      </c>
      <c r="H86">
        <v>0</v>
      </c>
      <c r="I86">
        <v>0</v>
      </c>
    </row>
    <row r="87" spans="1:9" x14ac:dyDescent="0.2">
      <c r="A87" s="1">
        <v>41821</v>
      </c>
      <c r="B87" s="4">
        <v>104.56833648681641</v>
      </c>
      <c r="C87" s="2" t="s">
        <v>88</v>
      </c>
      <c r="D87">
        <f t="shared" si="2"/>
        <v>106.53</v>
      </c>
      <c r="E87" s="8">
        <f t="shared" si="3"/>
        <v>4.6684266356231063</v>
      </c>
      <c r="F87" s="2">
        <v>30.181343928875322</v>
      </c>
      <c r="G87" s="6">
        <v>16.87</v>
      </c>
      <c r="H87">
        <v>0</v>
      </c>
      <c r="I87">
        <v>0</v>
      </c>
    </row>
    <row r="88" spans="1:9" x14ac:dyDescent="0.2">
      <c r="A88" s="1">
        <v>41852</v>
      </c>
      <c r="B88" s="4">
        <v>96.063140869140625</v>
      </c>
      <c r="C88" s="2" t="s">
        <v>89</v>
      </c>
      <c r="D88">
        <f t="shared" si="2"/>
        <v>103.77</v>
      </c>
      <c r="E88" s="8">
        <f t="shared" si="3"/>
        <v>4.6421769116171872</v>
      </c>
      <c r="F88" s="2">
        <v>22.49473841975157</v>
      </c>
      <c r="G88" s="6">
        <v>17.93</v>
      </c>
      <c r="H88">
        <v>0</v>
      </c>
      <c r="I88">
        <v>0</v>
      </c>
    </row>
    <row r="89" spans="1:9" x14ac:dyDescent="0.2">
      <c r="A89" s="1">
        <v>41883</v>
      </c>
      <c r="B89" s="4">
        <v>104.1304931640625</v>
      </c>
      <c r="C89" s="2" t="s">
        <v>90</v>
      </c>
      <c r="D89">
        <f t="shared" si="2"/>
        <v>95.32</v>
      </c>
      <c r="E89" s="8">
        <f t="shared" si="3"/>
        <v>4.5572396522305416</v>
      </c>
      <c r="F89" s="2">
        <v>12.23521091643739</v>
      </c>
      <c r="G89" s="6">
        <v>19.63</v>
      </c>
      <c r="H89">
        <v>0</v>
      </c>
      <c r="I89">
        <v>0</v>
      </c>
    </row>
    <row r="90" spans="1:9" x14ac:dyDescent="0.2">
      <c r="A90" s="1">
        <v>41913</v>
      </c>
      <c r="B90" s="4">
        <v>68.813301086425781</v>
      </c>
      <c r="C90" s="2" t="s">
        <v>91</v>
      </c>
      <c r="D90">
        <f t="shared" si="2"/>
        <v>86.34</v>
      </c>
      <c r="E90" s="8">
        <f t="shared" si="3"/>
        <v>4.4582929901273314</v>
      </c>
      <c r="F90" s="2">
        <v>15.87434514750827</v>
      </c>
      <c r="G90" s="6">
        <v>29.37</v>
      </c>
      <c r="H90">
        <v>0</v>
      </c>
      <c r="I90">
        <v>0</v>
      </c>
    </row>
    <row r="91" spans="1:9" x14ac:dyDescent="0.2">
      <c r="A91" s="1">
        <v>41944</v>
      </c>
      <c r="B91" s="4">
        <v>67.821014404296875</v>
      </c>
      <c r="C91" s="2" t="s">
        <v>92</v>
      </c>
      <c r="D91">
        <f t="shared" si="2"/>
        <v>70.58</v>
      </c>
      <c r="E91" s="8">
        <f t="shared" si="3"/>
        <v>4.256746818247124</v>
      </c>
      <c r="F91" s="2">
        <v>22.607562030003521</v>
      </c>
      <c r="G91" s="6">
        <v>33.159999999999997</v>
      </c>
      <c r="H91">
        <v>0</v>
      </c>
      <c r="I91">
        <v>0</v>
      </c>
    </row>
    <row r="92" spans="1:9" x14ac:dyDescent="0.2">
      <c r="A92" s="1">
        <v>41974</v>
      </c>
      <c r="B92" s="4">
        <v>69.485740661621094</v>
      </c>
      <c r="C92" s="2" t="s">
        <v>93</v>
      </c>
      <c r="D92">
        <f t="shared" si="2"/>
        <v>58.21</v>
      </c>
      <c r="E92" s="8">
        <f t="shared" si="3"/>
        <v>4.0640571612836442</v>
      </c>
      <c r="F92" s="2">
        <v>17.73628998548898</v>
      </c>
      <c r="G92" s="6">
        <v>47.81</v>
      </c>
      <c r="H92">
        <v>0</v>
      </c>
      <c r="I92">
        <v>0</v>
      </c>
    </row>
    <row r="93" spans="1:9" x14ac:dyDescent="0.2">
      <c r="A93" s="1">
        <v>42005</v>
      </c>
      <c r="B93" s="4">
        <v>94.441062927246094</v>
      </c>
      <c r="C93" s="2" t="s">
        <v>94</v>
      </c>
      <c r="D93">
        <f t="shared" si="2"/>
        <v>53.95</v>
      </c>
      <c r="E93" s="8">
        <f t="shared" si="3"/>
        <v>3.9880576917041437</v>
      </c>
      <c r="F93" s="2">
        <v>33.807758487838441</v>
      </c>
      <c r="G93" s="6">
        <v>55.17</v>
      </c>
      <c r="H93">
        <v>0</v>
      </c>
      <c r="I93">
        <v>0</v>
      </c>
    </row>
    <row r="94" spans="1:9" x14ac:dyDescent="0.2">
      <c r="A94" s="1">
        <v>42036</v>
      </c>
      <c r="B94" s="4">
        <v>98.143180847167969</v>
      </c>
      <c r="C94" s="2" t="s">
        <v>95</v>
      </c>
      <c r="D94">
        <f t="shared" si="2"/>
        <v>63.15</v>
      </c>
      <c r="E94" s="8">
        <f t="shared" si="3"/>
        <v>4.1455128487964998</v>
      </c>
      <c r="F94" s="2">
        <v>15.410779413270779</v>
      </c>
      <c r="G94" s="6">
        <v>57.8</v>
      </c>
      <c r="H94">
        <v>0</v>
      </c>
      <c r="I94">
        <v>0</v>
      </c>
    </row>
    <row r="95" spans="1:9" x14ac:dyDescent="0.2">
      <c r="A95" s="1">
        <v>42064</v>
      </c>
      <c r="B95" s="4">
        <v>95.053611755371094</v>
      </c>
      <c r="C95" s="2" t="s">
        <v>96</v>
      </c>
      <c r="D95">
        <f t="shared" si="2"/>
        <v>56.21</v>
      </c>
      <c r="E95" s="8">
        <f t="shared" si="3"/>
        <v>4.0290946770139833</v>
      </c>
      <c r="F95" s="2">
        <v>27.90761311919028</v>
      </c>
      <c r="G95" s="6">
        <v>51.53</v>
      </c>
      <c r="H95">
        <v>0</v>
      </c>
      <c r="I95">
        <v>0</v>
      </c>
    </row>
    <row r="96" spans="1:9" x14ac:dyDescent="0.2">
      <c r="A96" s="1">
        <v>42095</v>
      </c>
      <c r="B96" s="4">
        <v>90.097190856933594</v>
      </c>
      <c r="C96" s="2" t="s">
        <v>97</v>
      </c>
      <c r="D96">
        <f t="shared" si="2"/>
        <v>67.45</v>
      </c>
      <c r="E96" s="8">
        <f t="shared" si="3"/>
        <v>4.2113865826537653</v>
      </c>
      <c r="F96" s="2">
        <v>41.600502610924487</v>
      </c>
      <c r="G96" s="6">
        <v>42.76</v>
      </c>
      <c r="H96">
        <v>0</v>
      </c>
      <c r="I96">
        <v>0</v>
      </c>
    </row>
    <row r="97" spans="1:9" x14ac:dyDescent="0.2">
      <c r="A97" s="1">
        <v>42125</v>
      </c>
      <c r="B97" s="4">
        <v>67.888587951660156</v>
      </c>
      <c r="C97" s="2" t="s">
        <v>98</v>
      </c>
      <c r="D97">
        <f t="shared" si="2"/>
        <v>66.14</v>
      </c>
      <c r="E97" s="8">
        <f t="shared" si="3"/>
        <v>4.1917737075536463</v>
      </c>
      <c r="F97" s="2">
        <v>88.9198601814509</v>
      </c>
      <c r="G97" s="6">
        <v>34.18</v>
      </c>
      <c r="H97">
        <v>0</v>
      </c>
      <c r="I97">
        <v>0</v>
      </c>
    </row>
    <row r="98" spans="1:9" x14ac:dyDescent="0.2">
      <c r="A98" s="1">
        <v>42156</v>
      </c>
      <c r="B98" s="4">
        <v>78.030479431152344</v>
      </c>
      <c r="C98" s="2" t="s">
        <v>99</v>
      </c>
      <c r="D98">
        <f t="shared" si="2"/>
        <v>64.14</v>
      </c>
      <c r="E98" s="8">
        <f t="shared" si="3"/>
        <v>4.1610681942650087</v>
      </c>
      <c r="F98" s="2">
        <v>100.8030355608152</v>
      </c>
      <c r="G98" s="6">
        <v>32.54</v>
      </c>
      <c r="H98">
        <v>0</v>
      </c>
      <c r="I98">
        <v>0</v>
      </c>
    </row>
    <row r="99" spans="1:9" x14ac:dyDescent="0.2">
      <c r="A99" s="1">
        <v>42186</v>
      </c>
      <c r="B99" s="4">
        <v>94.758827209472656</v>
      </c>
      <c r="C99" s="2" t="s">
        <v>100</v>
      </c>
      <c r="D99">
        <f t="shared" si="2"/>
        <v>52.85</v>
      </c>
      <c r="E99" s="8">
        <f t="shared" si="3"/>
        <v>3.9674577123162469</v>
      </c>
      <c r="F99" s="2">
        <v>51.492819678262777</v>
      </c>
      <c r="G99" s="6">
        <v>38.11</v>
      </c>
      <c r="H99">
        <v>0</v>
      </c>
      <c r="I99">
        <v>0</v>
      </c>
    </row>
    <row r="100" spans="1:9" x14ac:dyDescent="0.2">
      <c r="A100" s="1">
        <v>42217</v>
      </c>
      <c r="B100" s="4">
        <v>83.123672485351562</v>
      </c>
      <c r="C100" s="2" t="s">
        <v>101</v>
      </c>
      <c r="D100">
        <f t="shared" si="2"/>
        <v>54.99</v>
      </c>
      <c r="E100" s="8">
        <f t="shared" si="3"/>
        <v>4.0071513505197229</v>
      </c>
      <c r="F100" s="2">
        <v>20.829575502112579</v>
      </c>
      <c r="G100" s="6">
        <v>43.95</v>
      </c>
      <c r="H100">
        <v>0</v>
      </c>
      <c r="I100">
        <v>0</v>
      </c>
    </row>
    <row r="101" spans="1:9" x14ac:dyDescent="0.2">
      <c r="A101" s="1">
        <v>42248</v>
      </c>
      <c r="B101" s="4">
        <v>95.892333984375</v>
      </c>
      <c r="C101" s="2" t="s">
        <v>102</v>
      </c>
      <c r="D101">
        <f t="shared" si="2"/>
        <v>49.05</v>
      </c>
      <c r="E101" s="8">
        <f t="shared" si="3"/>
        <v>3.8928401860113722</v>
      </c>
      <c r="F101" s="2">
        <v>19.609640231423501</v>
      </c>
      <c r="G101" s="6">
        <v>49.6</v>
      </c>
      <c r="H101">
        <v>0</v>
      </c>
      <c r="I101">
        <v>0</v>
      </c>
    </row>
    <row r="102" spans="1:9" x14ac:dyDescent="0.2">
      <c r="A102" s="1">
        <v>42278</v>
      </c>
      <c r="B102" s="4">
        <v>90.870597839355469</v>
      </c>
      <c r="C102" s="2" t="s">
        <v>103</v>
      </c>
      <c r="D102">
        <f t="shared" si="2"/>
        <v>50.31</v>
      </c>
      <c r="E102" s="8">
        <f t="shared" si="3"/>
        <v>3.9182038645032273</v>
      </c>
      <c r="F102" s="2">
        <v>68.608963352999012</v>
      </c>
      <c r="G102" s="6">
        <v>42.82</v>
      </c>
      <c r="H102">
        <v>0</v>
      </c>
      <c r="I102">
        <v>0</v>
      </c>
    </row>
    <row r="103" spans="1:9" x14ac:dyDescent="0.2">
      <c r="A103" s="1">
        <v>42309</v>
      </c>
      <c r="B103" s="4">
        <v>119.51046752929688</v>
      </c>
      <c r="C103" s="2" t="s">
        <v>104</v>
      </c>
      <c r="D103">
        <f t="shared" si="2"/>
        <v>45.24</v>
      </c>
      <c r="E103" s="8">
        <f t="shared" si="3"/>
        <v>3.8119816512479199</v>
      </c>
      <c r="F103" s="2">
        <v>20.503121626281949</v>
      </c>
      <c r="G103" s="6">
        <v>44.04</v>
      </c>
      <c r="H103">
        <v>0</v>
      </c>
      <c r="I103">
        <v>0</v>
      </c>
    </row>
    <row r="104" spans="1:9" x14ac:dyDescent="0.2">
      <c r="A104" s="1">
        <v>42339</v>
      </c>
      <c r="B104" s="4">
        <v>131.21058654785156</v>
      </c>
      <c r="C104" s="2" t="s">
        <v>105</v>
      </c>
      <c r="D104">
        <f t="shared" si="2"/>
        <v>37.67</v>
      </c>
      <c r="E104" s="8">
        <f t="shared" si="3"/>
        <v>3.6288640217039498</v>
      </c>
      <c r="F104" s="2">
        <v>20.475545821354942</v>
      </c>
      <c r="G104" s="6">
        <v>49.03</v>
      </c>
      <c r="H104">
        <v>0</v>
      </c>
      <c r="I104">
        <v>0</v>
      </c>
    </row>
    <row r="105" spans="1:9" x14ac:dyDescent="0.2">
      <c r="A105" s="1">
        <v>42370</v>
      </c>
      <c r="B105" s="4">
        <v>97.502113342285156</v>
      </c>
      <c r="C105" s="2" t="s">
        <v>106</v>
      </c>
      <c r="D105">
        <f t="shared" si="2"/>
        <v>35.99</v>
      </c>
      <c r="E105" s="8">
        <f t="shared" si="3"/>
        <v>3.5832411220909393</v>
      </c>
      <c r="F105" s="2">
        <v>42.781122645061053</v>
      </c>
      <c r="G105" s="6">
        <v>60.91</v>
      </c>
      <c r="H105">
        <v>0</v>
      </c>
      <c r="I105">
        <v>0</v>
      </c>
    </row>
    <row r="106" spans="1:9" x14ac:dyDescent="0.2">
      <c r="A106" s="1">
        <v>42401</v>
      </c>
      <c r="B106" s="4">
        <v>84.315170288085938</v>
      </c>
      <c r="C106" s="2" t="s">
        <v>107</v>
      </c>
      <c r="D106">
        <f t="shared" si="2"/>
        <v>36.57</v>
      </c>
      <c r="E106" s="8">
        <f t="shared" si="3"/>
        <v>3.5992282321612898</v>
      </c>
      <c r="F106" s="2">
        <v>26.272141839100371</v>
      </c>
      <c r="G106" s="6">
        <v>67.75</v>
      </c>
      <c r="H106">
        <v>0</v>
      </c>
      <c r="I106">
        <v>0</v>
      </c>
    </row>
    <row r="107" spans="1:9" x14ac:dyDescent="0.2">
      <c r="A107" s="1">
        <v>42430</v>
      </c>
      <c r="B107" s="4">
        <v>93.452728271484375</v>
      </c>
      <c r="C107" s="2" t="s">
        <v>108</v>
      </c>
      <c r="D107">
        <f t="shared" si="2"/>
        <v>40.33</v>
      </c>
      <c r="E107" s="8">
        <f t="shared" si="3"/>
        <v>3.6970956088852769</v>
      </c>
      <c r="F107" s="2">
        <v>49.187943138521867</v>
      </c>
      <c r="G107" s="6">
        <v>48.79</v>
      </c>
      <c r="H107">
        <v>0</v>
      </c>
      <c r="I107">
        <v>0</v>
      </c>
    </row>
    <row r="108" spans="1:9" x14ac:dyDescent="0.2">
      <c r="A108" s="1">
        <v>42461</v>
      </c>
      <c r="B108" s="4">
        <v>85.372116088867188</v>
      </c>
      <c r="C108" s="2" t="s">
        <v>109</v>
      </c>
      <c r="D108">
        <f t="shared" si="2"/>
        <v>47.37</v>
      </c>
      <c r="E108" s="8">
        <f t="shared" si="3"/>
        <v>3.8579891169356602</v>
      </c>
      <c r="F108" s="2">
        <v>42.923388368010663</v>
      </c>
      <c r="G108" s="6">
        <v>46.17</v>
      </c>
      <c r="H108">
        <v>0</v>
      </c>
      <c r="I108">
        <v>0</v>
      </c>
    </row>
    <row r="109" spans="1:9" x14ac:dyDescent="0.2">
      <c r="A109" s="1">
        <v>42491</v>
      </c>
      <c r="B109" s="4">
        <v>77.354278564453125</v>
      </c>
      <c r="C109" s="2" t="s">
        <v>110</v>
      </c>
      <c r="D109">
        <f t="shared" si="2"/>
        <v>49.89</v>
      </c>
      <c r="E109" s="8">
        <f t="shared" si="3"/>
        <v>3.9098205818729461</v>
      </c>
      <c r="F109" s="2">
        <v>76.848017114656813</v>
      </c>
      <c r="G109" s="6">
        <v>41.37</v>
      </c>
      <c r="H109">
        <v>0</v>
      </c>
      <c r="I109">
        <v>0</v>
      </c>
    </row>
    <row r="110" spans="1:9" x14ac:dyDescent="0.2">
      <c r="A110" s="1">
        <v>42522</v>
      </c>
      <c r="B110" s="4">
        <v>74.2213134765625</v>
      </c>
      <c r="C110" s="2" t="s">
        <v>111</v>
      </c>
      <c r="D110">
        <f t="shared" si="2"/>
        <v>49.71</v>
      </c>
      <c r="E110" s="8">
        <f t="shared" si="3"/>
        <v>3.9062061201065812</v>
      </c>
      <c r="F110" s="2">
        <v>271.07246177622369</v>
      </c>
      <c r="G110" s="6">
        <v>39.72</v>
      </c>
      <c r="H110">
        <v>0</v>
      </c>
      <c r="I110">
        <v>0</v>
      </c>
    </row>
    <row r="111" spans="1:9" x14ac:dyDescent="0.2">
      <c r="A111" s="1">
        <v>42552</v>
      </c>
      <c r="B111" s="4">
        <v>90.431060791015625</v>
      </c>
      <c r="C111" s="2" t="s">
        <v>112</v>
      </c>
      <c r="D111">
        <f t="shared" si="2"/>
        <v>43.53</v>
      </c>
      <c r="E111" s="8">
        <f t="shared" si="3"/>
        <v>3.773450355564206</v>
      </c>
      <c r="F111" s="2">
        <v>116.3026366192596</v>
      </c>
      <c r="G111" s="6">
        <v>39.99</v>
      </c>
      <c r="H111">
        <v>0</v>
      </c>
      <c r="I111">
        <v>0</v>
      </c>
    </row>
    <row r="112" spans="1:9" x14ac:dyDescent="0.2">
      <c r="A112" s="1">
        <v>42583</v>
      </c>
      <c r="B112" s="4">
        <v>79.6497802734375</v>
      </c>
      <c r="C112" s="2" t="s">
        <v>113</v>
      </c>
      <c r="D112">
        <f t="shared" si="2"/>
        <v>46.89</v>
      </c>
      <c r="E112" s="8">
        <f t="shared" si="3"/>
        <v>3.8478044331014951</v>
      </c>
      <c r="F112" s="2">
        <v>155.2743149883878</v>
      </c>
      <c r="G112" s="6">
        <v>38.97</v>
      </c>
      <c r="H112">
        <v>0</v>
      </c>
      <c r="I112">
        <v>0</v>
      </c>
    </row>
    <row r="113" spans="1:9" x14ac:dyDescent="0.2">
      <c r="A113" s="1">
        <v>42614</v>
      </c>
      <c r="B113" s="4">
        <v>94.0345458984375</v>
      </c>
      <c r="C113" s="2" t="s">
        <v>114</v>
      </c>
      <c r="D113">
        <f t="shared" si="2"/>
        <v>50.19</v>
      </c>
      <c r="E113" s="8">
        <f t="shared" si="3"/>
        <v>3.9158158036668422</v>
      </c>
      <c r="F113" s="2">
        <v>93.079444235359503</v>
      </c>
      <c r="G113" s="6">
        <v>41</v>
      </c>
      <c r="H113">
        <v>0</v>
      </c>
      <c r="I113">
        <v>0</v>
      </c>
    </row>
    <row r="114" spans="1:9" x14ac:dyDescent="0.2">
      <c r="A114" s="1">
        <v>42644</v>
      </c>
      <c r="B114" s="4">
        <v>77.689735412597656</v>
      </c>
      <c r="C114" s="2" t="s">
        <v>115</v>
      </c>
      <c r="D114">
        <f t="shared" si="2"/>
        <v>48.61</v>
      </c>
      <c r="E114" s="8">
        <f t="shared" si="3"/>
        <v>3.8838292710573641</v>
      </c>
      <c r="F114" s="2">
        <v>83.538371339557074</v>
      </c>
      <c r="G114" s="6">
        <v>36.049999999999997</v>
      </c>
      <c r="H114">
        <v>0</v>
      </c>
      <c r="I114">
        <v>0</v>
      </c>
    </row>
    <row r="115" spans="1:9" x14ac:dyDescent="0.2">
      <c r="A115" s="1">
        <v>42675</v>
      </c>
      <c r="B115" s="4">
        <v>71.862342834472656</v>
      </c>
      <c r="C115" s="2" t="s">
        <v>116</v>
      </c>
      <c r="D115">
        <f t="shared" si="2"/>
        <v>51.84</v>
      </c>
      <c r="E115" s="8">
        <f t="shared" si="3"/>
        <v>3.9481620520440193</v>
      </c>
      <c r="F115" s="2">
        <v>540.41870128819392</v>
      </c>
      <c r="G115" s="6">
        <v>46.28</v>
      </c>
      <c r="H115">
        <v>0</v>
      </c>
      <c r="I115">
        <v>0</v>
      </c>
    </row>
    <row r="116" spans="1:9" x14ac:dyDescent="0.2">
      <c r="A116" s="1">
        <v>42705</v>
      </c>
      <c r="B116" s="4">
        <v>86.417243957519531</v>
      </c>
      <c r="C116" s="2" t="s">
        <v>117</v>
      </c>
      <c r="D116">
        <f t="shared" si="2"/>
        <v>57.49</v>
      </c>
      <c r="E116" s="8">
        <f t="shared" si="3"/>
        <v>4.0516110196351995</v>
      </c>
      <c r="F116" s="2">
        <v>275.12017261153028</v>
      </c>
      <c r="G116" s="6">
        <v>32.42</v>
      </c>
      <c r="H116">
        <v>0</v>
      </c>
      <c r="I116">
        <v>0</v>
      </c>
    </row>
    <row r="117" spans="1:9" x14ac:dyDescent="0.2">
      <c r="A117" s="1">
        <v>42736</v>
      </c>
      <c r="B117" s="4">
        <v>86.761878967285156</v>
      </c>
      <c r="C117" s="2" t="s">
        <v>2</v>
      </c>
      <c r="D117">
        <f t="shared" si="2"/>
        <v>55.58</v>
      </c>
      <c r="E117" s="8">
        <f t="shared" si="3"/>
        <v>4.0178234243143578</v>
      </c>
      <c r="F117" s="2">
        <v>474.80270698080318</v>
      </c>
      <c r="G117" s="6">
        <v>31.28</v>
      </c>
      <c r="H117">
        <v>0</v>
      </c>
      <c r="I117">
        <v>0</v>
      </c>
    </row>
    <row r="118" spans="1:9" x14ac:dyDescent="0.2">
      <c r="A118" s="1">
        <v>42767</v>
      </c>
      <c r="B118" s="4">
        <v>98.752326965332031</v>
      </c>
      <c r="C118" s="2" t="s">
        <v>118</v>
      </c>
      <c r="D118">
        <f t="shared" si="2"/>
        <v>56.51</v>
      </c>
      <c r="E118" s="8">
        <f t="shared" si="3"/>
        <v>4.034417613641752</v>
      </c>
      <c r="F118" s="2">
        <v>250.13309315641871</v>
      </c>
      <c r="G118" s="6">
        <v>27.4</v>
      </c>
      <c r="H118">
        <v>0</v>
      </c>
      <c r="I118">
        <v>0</v>
      </c>
    </row>
    <row r="119" spans="1:9" x14ac:dyDescent="0.2">
      <c r="A119" s="1">
        <v>42795</v>
      </c>
      <c r="B119" s="4">
        <v>80.134109497070312</v>
      </c>
      <c r="C119" s="2" t="s">
        <v>119</v>
      </c>
      <c r="D119">
        <f t="shared" si="2"/>
        <v>53.53</v>
      </c>
      <c r="E119" s="8">
        <f t="shared" si="3"/>
        <v>3.9802422444052898</v>
      </c>
      <c r="F119" s="2">
        <v>151.94312083610339</v>
      </c>
      <c r="G119" s="6">
        <v>29.25</v>
      </c>
      <c r="H119">
        <v>0</v>
      </c>
      <c r="I119">
        <v>0</v>
      </c>
    </row>
    <row r="120" spans="1:9" x14ac:dyDescent="0.2">
      <c r="A120" s="1">
        <v>42826</v>
      </c>
      <c r="B120" s="4">
        <v>93.111419677734375</v>
      </c>
      <c r="C120" s="2" t="s">
        <v>120</v>
      </c>
      <c r="D120">
        <f t="shared" si="2"/>
        <v>52.05</v>
      </c>
      <c r="E120" s="8">
        <f t="shared" si="3"/>
        <v>3.952204795060978</v>
      </c>
      <c r="F120" s="2">
        <v>153.35011477760241</v>
      </c>
      <c r="G120" s="6">
        <v>27.96</v>
      </c>
      <c r="H120">
        <v>0</v>
      </c>
      <c r="I120">
        <v>0</v>
      </c>
    </row>
    <row r="121" spans="1:9" x14ac:dyDescent="0.2">
      <c r="A121" s="1">
        <v>42856</v>
      </c>
      <c r="B121" s="4">
        <v>78.910453796386719</v>
      </c>
      <c r="C121" s="2" t="s">
        <v>121</v>
      </c>
      <c r="D121">
        <f t="shared" si="2"/>
        <v>50.76</v>
      </c>
      <c r="E121" s="8">
        <f t="shared" si="3"/>
        <v>3.927108642846187</v>
      </c>
      <c r="F121" s="2">
        <v>87.267511157505794</v>
      </c>
      <c r="G121" s="6">
        <v>32.47</v>
      </c>
      <c r="H121">
        <v>0</v>
      </c>
      <c r="I121">
        <v>0</v>
      </c>
    </row>
    <row r="122" spans="1:9" x14ac:dyDescent="0.2">
      <c r="A122" s="1">
        <v>42887</v>
      </c>
      <c r="B122" s="4">
        <v>105.329345703125</v>
      </c>
      <c r="C122" s="2" t="s">
        <v>122</v>
      </c>
      <c r="D122">
        <f t="shared" si="2"/>
        <v>48.77</v>
      </c>
      <c r="E122" s="8">
        <f t="shared" si="3"/>
        <v>3.8871153697219611</v>
      </c>
      <c r="F122" s="2">
        <v>86.85827933221465</v>
      </c>
      <c r="G122" s="6">
        <v>31.96</v>
      </c>
      <c r="H122">
        <v>0</v>
      </c>
      <c r="I122">
        <v>0</v>
      </c>
    </row>
    <row r="123" spans="1:9" x14ac:dyDescent="0.2">
      <c r="A123" s="1">
        <v>42917</v>
      </c>
      <c r="B123" s="4">
        <v>86.891197204589844</v>
      </c>
      <c r="C123" s="2" t="s">
        <v>123</v>
      </c>
      <c r="D123">
        <f t="shared" si="2"/>
        <v>52.72</v>
      </c>
      <c r="E123" s="8">
        <f t="shared" si="3"/>
        <v>3.9649948901942516</v>
      </c>
      <c r="F123" s="2">
        <v>92.143454837233946</v>
      </c>
      <c r="G123" s="6">
        <v>30.86</v>
      </c>
      <c r="H123">
        <v>0</v>
      </c>
      <c r="I123">
        <v>0</v>
      </c>
    </row>
    <row r="124" spans="1:9" x14ac:dyDescent="0.2">
      <c r="A124" s="1">
        <v>42948</v>
      </c>
      <c r="B124" s="4">
        <v>107.87451171875</v>
      </c>
      <c r="C124" s="2" t="s">
        <v>124</v>
      </c>
      <c r="D124">
        <f t="shared" si="2"/>
        <v>52.86</v>
      </c>
      <c r="E124" s="8">
        <f t="shared" si="3"/>
        <v>3.967646909176143</v>
      </c>
      <c r="F124" s="2">
        <v>91.351066874105086</v>
      </c>
      <c r="G124" s="6">
        <v>29.13</v>
      </c>
      <c r="H124">
        <v>0</v>
      </c>
      <c r="I124">
        <v>0</v>
      </c>
    </row>
    <row r="125" spans="1:9" x14ac:dyDescent="0.2">
      <c r="A125" s="1">
        <v>42979</v>
      </c>
      <c r="B125" s="4">
        <v>95.024681091308594</v>
      </c>
      <c r="C125" s="2" t="s">
        <v>125</v>
      </c>
      <c r="D125">
        <f t="shared" si="2"/>
        <v>56.79</v>
      </c>
      <c r="E125" s="8">
        <f t="shared" si="3"/>
        <v>4.0393602538893409</v>
      </c>
      <c r="F125" s="2">
        <v>76.291078252926809</v>
      </c>
      <c r="G125" s="6">
        <v>27.58</v>
      </c>
      <c r="H125">
        <v>0</v>
      </c>
      <c r="I125">
        <v>0</v>
      </c>
    </row>
    <row r="126" spans="1:9" x14ac:dyDescent="0.2">
      <c r="A126" s="1">
        <v>43009</v>
      </c>
      <c r="B126" s="4">
        <v>76.098663330078125</v>
      </c>
      <c r="C126" s="2" t="s">
        <v>126</v>
      </c>
      <c r="D126">
        <f t="shared" si="2"/>
        <v>60.94</v>
      </c>
      <c r="E126" s="8">
        <f t="shared" si="3"/>
        <v>4.1098897735575628</v>
      </c>
      <c r="F126" s="2">
        <v>96.872971375518702</v>
      </c>
      <c r="G126" s="6">
        <v>26.15</v>
      </c>
      <c r="H126">
        <v>0</v>
      </c>
      <c r="I126">
        <v>0</v>
      </c>
    </row>
    <row r="127" spans="1:9" x14ac:dyDescent="0.2">
      <c r="A127" s="1">
        <v>43040</v>
      </c>
      <c r="B127" s="4">
        <v>61.759689331054688</v>
      </c>
      <c r="C127" s="2" t="s">
        <v>127</v>
      </c>
      <c r="D127">
        <f t="shared" si="2"/>
        <v>62.63</v>
      </c>
      <c r="E127" s="8">
        <f t="shared" si="3"/>
        <v>4.1372443965373211</v>
      </c>
      <c r="F127" s="2">
        <v>49.481161423335891</v>
      </c>
      <c r="G127" s="6">
        <v>27.67</v>
      </c>
      <c r="H127">
        <v>0</v>
      </c>
      <c r="I127">
        <v>0</v>
      </c>
    </row>
    <row r="128" spans="1:9" x14ac:dyDescent="0.2">
      <c r="A128" s="1">
        <v>43070</v>
      </c>
      <c r="B128" s="4">
        <v>64.841156005859375</v>
      </c>
      <c r="C128" s="2" t="s">
        <v>128</v>
      </c>
      <c r="D128">
        <f t="shared" si="2"/>
        <v>66.44</v>
      </c>
      <c r="E128" s="8">
        <f t="shared" si="3"/>
        <v>4.1962992847450939</v>
      </c>
      <c r="F128" s="2">
        <v>182.29972181911791</v>
      </c>
      <c r="G128" s="6">
        <v>21.59</v>
      </c>
      <c r="H128">
        <v>0</v>
      </c>
      <c r="I128">
        <v>0</v>
      </c>
    </row>
    <row r="129" spans="1:9" x14ac:dyDescent="0.2">
      <c r="A129" s="1">
        <v>43101</v>
      </c>
      <c r="B129" s="4">
        <v>69.343276977539062</v>
      </c>
      <c r="C129" s="2" t="s">
        <v>129</v>
      </c>
      <c r="D129">
        <f t="shared" si="2"/>
        <v>68.89</v>
      </c>
      <c r="E129" s="8">
        <f t="shared" si="3"/>
        <v>4.2325110296051047</v>
      </c>
      <c r="F129" s="2">
        <v>247.78681839219831</v>
      </c>
      <c r="G129" s="6">
        <v>22.99</v>
      </c>
      <c r="H129">
        <v>0</v>
      </c>
      <c r="I129">
        <v>0</v>
      </c>
    </row>
    <row r="130" spans="1:9" x14ac:dyDescent="0.2">
      <c r="A130" s="1">
        <v>43132</v>
      </c>
      <c r="B130" s="4">
        <v>58.211559295654297</v>
      </c>
      <c r="C130" s="2" t="s">
        <v>130</v>
      </c>
      <c r="D130">
        <f t="shared" ref="D130:D193" si="4">SUBSTITUTE(C130,".",",")*1</f>
        <v>64.73</v>
      </c>
      <c r="E130" s="8">
        <f t="shared" si="3"/>
        <v>4.1702247725574191</v>
      </c>
      <c r="F130" s="2">
        <v>69.094741880130613</v>
      </c>
      <c r="G130" s="6">
        <v>26.69</v>
      </c>
      <c r="H130">
        <v>0</v>
      </c>
      <c r="I130">
        <v>0</v>
      </c>
    </row>
    <row r="131" spans="1:9" x14ac:dyDescent="0.2">
      <c r="A131" s="1">
        <v>43160</v>
      </c>
      <c r="B131" s="4">
        <v>76.136474609375</v>
      </c>
      <c r="C131" s="2" t="s">
        <v>131</v>
      </c>
      <c r="D131">
        <f t="shared" si="4"/>
        <v>69.34</v>
      </c>
      <c r="E131" s="8">
        <f t="shared" ref="E131:E194" si="5">LN(D131)</f>
        <v>4.2390219402568778</v>
      </c>
      <c r="F131" s="2">
        <v>524.65186365770012</v>
      </c>
      <c r="G131" s="6">
        <v>26</v>
      </c>
      <c r="H131">
        <v>0</v>
      </c>
      <c r="I131">
        <v>0</v>
      </c>
    </row>
    <row r="132" spans="1:9" x14ac:dyDescent="0.2">
      <c r="A132" s="1">
        <v>43191</v>
      </c>
      <c r="B132" s="4">
        <v>76.401657104492188</v>
      </c>
      <c r="C132" s="2" t="s">
        <v>132</v>
      </c>
      <c r="D132">
        <f t="shared" si="4"/>
        <v>74.69</v>
      </c>
      <c r="E132" s="8">
        <f t="shared" si="5"/>
        <v>4.3133462143689751</v>
      </c>
      <c r="F132" s="2">
        <v>463.18065339234801</v>
      </c>
      <c r="G132" s="6">
        <v>27.71</v>
      </c>
      <c r="H132">
        <v>0</v>
      </c>
      <c r="I132">
        <v>0</v>
      </c>
    </row>
    <row r="133" spans="1:9" x14ac:dyDescent="0.2">
      <c r="A133" s="1">
        <v>43221</v>
      </c>
      <c r="B133" s="4">
        <v>83.750419616699219</v>
      </c>
      <c r="C133" s="2" t="s">
        <v>133</v>
      </c>
      <c r="D133">
        <f t="shared" si="4"/>
        <v>77.56</v>
      </c>
      <c r="E133" s="8">
        <f t="shared" si="5"/>
        <v>4.351051830374451</v>
      </c>
      <c r="F133" s="2">
        <v>283.08382111757919</v>
      </c>
      <c r="G133" s="6">
        <v>26.68</v>
      </c>
      <c r="H133">
        <v>0</v>
      </c>
      <c r="I133">
        <v>1</v>
      </c>
    </row>
    <row r="134" spans="1:9" x14ac:dyDescent="0.2">
      <c r="A134" s="1">
        <v>43252</v>
      </c>
      <c r="B134" s="4">
        <v>77.220542907714844</v>
      </c>
      <c r="C134" s="2" t="s">
        <v>134</v>
      </c>
      <c r="D134">
        <f t="shared" si="4"/>
        <v>79.23</v>
      </c>
      <c r="E134" s="8">
        <f t="shared" si="5"/>
        <v>4.3723550149771508</v>
      </c>
      <c r="F134" s="2">
        <v>688.39963799575457</v>
      </c>
      <c r="G134" s="6">
        <v>27.52</v>
      </c>
      <c r="H134">
        <v>0</v>
      </c>
      <c r="I134">
        <v>1</v>
      </c>
    </row>
    <row r="135" spans="1:9" x14ac:dyDescent="0.2">
      <c r="A135" s="1">
        <v>43282</v>
      </c>
      <c r="B135" s="4">
        <v>68.615348815917969</v>
      </c>
      <c r="C135" s="2" t="s">
        <v>135</v>
      </c>
      <c r="D135">
        <f t="shared" si="4"/>
        <v>74.209999999999994</v>
      </c>
      <c r="E135" s="8">
        <f t="shared" si="5"/>
        <v>4.3068989119820422</v>
      </c>
      <c r="F135" s="2">
        <v>904.71914104239397</v>
      </c>
      <c r="G135" s="6">
        <v>27.12</v>
      </c>
      <c r="H135">
        <v>0</v>
      </c>
      <c r="I135">
        <v>1</v>
      </c>
    </row>
    <row r="136" spans="1:9" x14ac:dyDescent="0.2">
      <c r="A136" s="1">
        <v>43313</v>
      </c>
      <c r="B136" s="4">
        <v>74.005218505859375</v>
      </c>
      <c r="C136" s="2" t="s">
        <v>136</v>
      </c>
      <c r="D136">
        <f t="shared" si="4"/>
        <v>77.64</v>
      </c>
      <c r="E136" s="8">
        <f t="shared" si="5"/>
        <v>4.3520827583008099</v>
      </c>
      <c r="F136" s="2">
        <v>469.29294766857811</v>
      </c>
      <c r="G136" s="6">
        <v>25.29</v>
      </c>
      <c r="H136">
        <v>0</v>
      </c>
      <c r="I136">
        <v>1</v>
      </c>
    </row>
    <row r="137" spans="1:9" x14ac:dyDescent="0.2">
      <c r="A137" s="1">
        <v>43344</v>
      </c>
      <c r="B137" s="4">
        <v>51.753746032714844</v>
      </c>
      <c r="C137" s="2" t="s">
        <v>137</v>
      </c>
      <c r="D137">
        <f t="shared" si="4"/>
        <v>82.73</v>
      </c>
      <c r="E137" s="8">
        <f t="shared" si="5"/>
        <v>4.4155822932020916</v>
      </c>
      <c r="F137" s="2">
        <v>323.39119025169828</v>
      </c>
      <c r="G137" s="6">
        <v>26.54</v>
      </c>
      <c r="H137">
        <v>0</v>
      </c>
      <c r="I137">
        <v>1</v>
      </c>
    </row>
    <row r="138" spans="1:9" x14ac:dyDescent="0.2">
      <c r="A138" s="1">
        <v>43374</v>
      </c>
      <c r="B138" s="4">
        <v>60.494251251220703</v>
      </c>
      <c r="C138" s="2" t="s">
        <v>138</v>
      </c>
      <c r="D138">
        <f t="shared" si="4"/>
        <v>75.040000000000006</v>
      </c>
      <c r="E138" s="8">
        <f t="shared" si="5"/>
        <v>4.318021304697969</v>
      </c>
      <c r="F138" s="2">
        <v>443.23030281078809</v>
      </c>
      <c r="G138" s="6">
        <v>28.66</v>
      </c>
      <c r="H138">
        <v>0</v>
      </c>
      <c r="I138">
        <v>1</v>
      </c>
    </row>
    <row r="139" spans="1:9" x14ac:dyDescent="0.2">
      <c r="A139" s="1">
        <v>43405</v>
      </c>
      <c r="B139" s="4">
        <v>52.751285552978516</v>
      </c>
      <c r="C139" s="2" t="s">
        <v>139</v>
      </c>
      <c r="D139">
        <f t="shared" si="4"/>
        <v>59.46</v>
      </c>
      <c r="E139" s="8">
        <f t="shared" si="5"/>
        <v>4.0853038175699519</v>
      </c>
      <c r="F139" s="2">
        <v>403.07749319330469</v>
      </c>
      <c r="G139" s="6">
        <v>45.32</v>
      </c>
      <c r="H139">
        <v>0</v>
      </c>
      <c r="I139">
        <v>1</v>
      </c>
    </row>
    <row r="140" spans="1:9" x14ac:dyDescent="0.2">
      <c r="A140" s="1">
        <v>43435</v>
      </c>
      <c r="B140" s="4">
        <v>63.819053649902344</v>
      </c>
      <c r="C140" s="2" t="s">
        <v>140</v>
      </c>
      <c r="D140">
        <f t="shared" si="4"/>
        <v>54.02</v>
      </c>
      <c r="E140" s="8">
        <f t="shared" si="5"/>
        <v>3.9893543483644698</v>
      </c>
      <c r="F140" s="2">
        <v>681.87188920711912</v>
      </c>
      <c r="G140" s="6">
        <v>48.83</v>
      </c>
      <c r="H140">
        <v>0</v>
      </c>
      <c r="I140">
        <v>1</v>
      </c>
    </row>
    <row r="141" spans="1:9" x14ac:dyDescent="0.2">
      <c r="A141" s="1">
        <v>43466</v>
      </c>
      <c r="B141" s="4">
        <v>66.391738891601562</v>
      </c>
      <c r="C141" s="2" t="s">
        <v>141</v>
      </c>
      <c r="D141">
        <f t="shared" si="4"/>
        <v>60.84</v>
      </c>
      <c r="E141" s="8">
        <f t="shared" si="5"/>
        <v>4.1082474673910925</v>
      </c>
      <c r="F141" s="2">
        <v>715.62023250868731</v>
      </c>
      <c r="G141" s="6">
        <v>41.42</v>
      </c>
      <c r="H141">
        <v>0</v>
      </c>
      <c r="I141">
        <v>1</v>
      </c>
    </row>
    <row r="142" spans="1:9" x14ac:dyDescent="0.2">
      <c r="A142" s="1">
        <v>43497</v>
      </c>
      <c r="B142" s="4">
        <v>75.31292724609375</v>
      </c>
      <c r="C142" s="2" t="s">
        <v>142</v>
      </c>
      <c r="D142">
        <f t="shared" si="4"/>
        <v>66.31</v>
      </c>
      <c r="E142" s="8">
        <f t="shared" si="5"/>
        <v>4.1943407153807764</v>
      </c>
      <c r="F142" s="2">
        <v>307.09272136420037</v>
      </c>
      <c r="G142" s="6">
        <v>32.04</v>
      </c>
      <c r="H142">
        <v>0</v>
      </c>
      <c r="I142">
        <v>1</v>
      </c>
    </row>
    <row r="143" spans="1:9" x14ac:dyDescent="0.2">
      <c r="A143" s="1">
        <v>43525</v>
      </c>
      <c r="B143" s="4">
        <v>63.711704254150391</v>
      </c>
      <c r="C143" s="2" t="s">
        <v>143</v>
      </c>
      <c r="D143">
        <f t="shared" si="4"/>
        <v>67.58</v>
      </c>
      <c r="E143" s="8">
        <f t="shared" si="5"/>
        <v>4.2133120812861442</v>
      </c>
      <c r="F143" s="2">
        <v>287.66534626635422</v>
      </c>
      <c r="G143" s="6">
        <v>28.46</v>
      </c>
      <c r="H143">
        <v>0</v>
      </c>
      <c r="I143">
        <v>1</v>
      </c>
    </row>
    <row r="144" spans="1:9" x14ac:dyDescent="0.2">
      <c r="A144" s="1">
        <v>43556</v>
      </c>
      <c r="B144" s="4">
        <v>60.058460235595703</v>
      </c>
      <c r="C144" s="2" t="s">
        <v>144</v>
      </c>
      <c r="D144">
        <f t="shared" si="4"/>
        <v>72.06</v>
      </c>
      <c r="E144" s="8">
        <f t="shared" si="5"/>
        <v>4.2774991053199471</v>
      </c>
      <c r="F144" s="2">
        <v>335.67498973660048</v>
      </c>
      <c r="G144" s="6">
        <v>26.01</v>
      </c>
      <c r="H144">
        <v>0</v>
      </c>
      <c r="I144">
        <v>1</v>
      </c>
    </row>
    <row r="145" spans="1:9" x14ac:dyDescent="0.2">
      <c r="A145" s="1">
        <v>43586</v>
      </c>
      <c r="B145" s="4">
        <v>76.116859436035156</v>
      </c>
      <c r="C145" s="2" t="s">
        <v>145</v>
      </c>
      <c r="D145">
        <f t="shared" si="4"/>
        <v>61.99</v>
      </c>
      <c r="E145" s="8">
        <f t="shared" si="5"/>
        <v>4.1269730817138282</v>
      </c>
      <c r="F145" s="2">
        <v>786.54209303819198</v>
      </c>
      <c r="G145" s="6">
        <v>32.46</v>
      </c>
      <c r="H145">
        <v>0</v>
      </c>
      <c r="I145">
        <v>1</v>
      </c>
    </row>
    <row r="146" spans="1:9" x14ac:dyDescent="0.2">
      <c r="A146" s="1">
        <v>43617</v>
      </c>
      <c r="B146" s="4">
        <v>73.257400512695312</v>
      </c>
      <c r="C146" s="2" t="s">
        <v>146</v>
      </c>
      <c r="D146">
        <f t="shared" si="4"/>
        <v>64.739999999999995</v>
      </c>
      <c r="E146" s="8">
        <f t="shared" si="5"/>
        <v>4.1703792484980982</v>
      </c>
      <c r="F146" s="2">
        <v>1374.280097927616</v>
      </c>
      <c r="G146" s="6">
        <v>41.57</v>
      </c>
      <c r="H146">
        <v>0</v>
      </c>
      <c r="I146">
        <v>1</v>
      </c>
    </row>
    <row r="147" spans="1:9" x14ac:dyDescent="0.2">
      <c r="A147" s="1">
        <v>43647</v>
      </c>
      <c r="B147" s="4">
        <v>70.43902587890625</v>
      </c>
      <c r="C147" s="2" t="s">
        <v>147</v>
      </c>
      <c r="D147">
        <f t="shared" si="4"/>
        <v>65.05</v>
      </c>
      <c r="E147" s="8">
        <f t="shared" si="5"/>
        <v>4.1751562049585145</v>
      </c>
      <c r="F147" s="2">
        <v>600.78822909992812</v>
      </c>
      <c r="G147" s="6">
        <v>32.799999999999997</v>
      </c>
      <c r="H147">
        <v>0</v>
      </c>
      <c r="I147">
        <v>1</v>
      </c>
    </row>
    <row r="148" spans="1:9" x14ac:dyDescent="0.2">
      <c r="A148" s="1">
        <v>43678</v>
      </c>
      <c r="B148" s="4">
        <v>94.956893920898438</v>
      </c>
      <c r="C148" s="2" t="s">
        <v>148</v>
      </c>
      <c r="D148">
        <f t="shared" si="4"/>
        <v>59.25</v>
      </c>
      <c r="E148" s="8">
        <f t="shared" si="5"/>
        <v>4.0817657800152407</v>
      </c>
      <c r="F148" s="2">
        <v>1946.6829997926491</v>
      </c>
      <c r="G148" s="6">
        <v>34.57</v>
      </c>
      <c r="H148">
        <v>0</v>
      </c>
      <c r="I148">
        <v>1</v>
      </c>
    </row>
    <row r="149" spans="1:9" x14ac:dyDescent="0.2">
      <c r="A149" s="1">
        <v>43709</v>
      </c>
      <c r="B149" s="4">
        <v>70.829391479492188</v>
      </c>
      <c r="C149" s="2" t="s">
        <v>148</v>
      </c>
      <c r="D149">
        <f t="shared" si="4"/>
        <v>59.25</v>
      </c>
      <c r="E149" s="8">
        <f t="shared" si="5"/>
        <v>4.0817657800152407</v>
      </c>
      <c r="F149" s="2">
        <v>919.11534703279972</v>
      </c>
      <c r="G149" s="6">
        <v>37.76</v>
      </c>
      <c r="H149">
        <v>0</v>
      </c>
      <c r="I149">
        <v>1</v>
      </c>
    </row>
    <row r="150" spans="1:9" x14ac:dyDescent="0.2">
      <c r="A150" s="1">
        <v>43739</v>
      </c>
      <c r="B150" s="4">
        <v>72.865119934082031</v>
      </c>
      <c r="C150" s="2" t="s">
        <v>149</v>
      </c>
      <c r="D150">
        <f t="shared" si="4"/>
        <v>59.62</v>
      </c>
      <c r="E150" s="8">
        <f t="shared" si="5"/>
        <v>4.0879910882499253</v>
      </c>
      <c r="F150" s="2">
        <v>842.41319202596674</v>
      </c>
      <c r="G150" s="6">
        <v>37.72</v>
      </c>
      <c r="H150">
        <v>0</v>
      </c>
      <c r="I150">
        <v>1</v>
      </c>
    </row>
    <row r="151" spans="1:9" x14ac:dyDescent="0.2">
      <c r="A151" s="1">
        <v>43770</v>
      </c>
      <c r="B151" s="4">
        <v>64.525749206542969</v>
      </c>
      <c r="C151" s="2" t="s">
        <v>150</v>
      </c>
      <c r="D151">
        <f t="shared" si="4"/>
        <v>60.49</v>
      </c>
      <c r="E151" s="8">
        <f t="shared" si="5"/>
        <v>4.1024780621188226</v>
      </c>
      <c r="F151" s="2">
        <v>597.61785170298162</v>
      </c>
      <c r="G151" s="6">
        <v>33.14</v>
      </c>
      <c r="H151">
        <v>0</v>
      </c>
      <c r="I151">
        <v>1</v>
      </c>
    </row>
    <row r="152" spans="1:9" x14ac:dyDescent="0.2">
      <c r="A152" s="1">
        <v>43800</v>
      </c>
      <c r="B152" s="4">
        <v>50.649333953857422</v>
      </c>
      <c r="C152" s="2" t="s">
        <v>151</v>
      </c>
      <c r="D152">
        <f t="shared" si="4"/>
        <v>65.290000000000006</v>
      </c>
      <c r="E152" s="8">
        <f t="shared" si="5"/>
        <v>4.1788388851985419</v>
      </c>
      <c r="F152" s="2">
        <v>851.97626288309982</v>
      </c>
      <c r="G152" s="6">
        <v>27.93</v>
      </c>
      <c r="H152">
        <v>0</v>
      </c>
      <c r="I152">
        <v>1</v>
      </c>
    </row>
    <row r="153" spans="1:9" x14ac:dyDescent="0.2">
      <c r="A153" s="1">
        <v>43831</v>
      </c>
      <c r="B153" s="4">
        <v>104.52386474609375</v>
      </c>
      <c r="C153" s="2" t="s">
        <v>152</v>
      </c>
      <c r="D153">
        <f t="shared" si="4"/>
        <v>56.62</v>
      </c>
      <c r="E153" s="8">
        <f t="shared" si="5"/>
        <v>4.0363622796837539</v>
      </c>
      <c r="F153" s="2">
        <v>646.81815154335322</v>
      </c>
      <c r="G153" s="6">
        <v>33.01</v>
      </c>
      <c r="H153">
        <v>0</v>
      </c>
      <c r="I153">
        <v>1</v>
      </c>
    </row>
    <row r="154" spans="1:9" x14ac:dyDescent="0.2">
      <c r="A154" s="1">
        <v>43862</v>
      </c>
      <c r="B154" s="4">
        <v>62.856437683105469</v>
      </c>
      <c r="C154" s="2" t="s">
        <v>153</v>
      </c>
      <c r="D154">
        <f t="shared" si="4"/>
        <v>49.67</v>
      </c>
      <c r="E154" s="8">
        <f t="shared" si="5"/>
        <v>3.9054011291192592</v>
      </c>
      <c r="F154" s="2">
        <v>462.98232342172469</v>
      </c>
      <c r="G154" s="6">
        <v>38.83</v>
      </c>
      <c r="H154">
        <v>0</v>
      </c>
      <c r="I154">
        <v>1</v>
      </c>
    </row>
    <row r="155" spans="1:9" x14ac:dyDescent="0.2">
      <c r="A155" s="1">
        <v>43891</v>
      </c>
      <c r="B155" s="4">
        <v>80.561294555664062</v>
      </c>
      <c r="C155" s="2" t="s">
        <v>154</v>
      </c>
      <c r="D155">
        <f t="shared" si="4"/>
        <v>26.35</v>
      </c>
      <c r="E155" s="8">
        <f t="shared" si="5"/>
        <v>3.2714682749873716</v>
      </c>
      <c r="F155" s="2">
        <v>194.8283473003861</v>
      </c>
      <c r="G155" s="6">
        <v>126.24</v>
      </c>
      <c r="H155">
        <v>0</v>
      </c>
      <c r="I155">
        <v>1</v>
      </c>
    </row>
    <row r="156" spans="1:9" x14ac:dyDescent="0.2">
      <c r="A156" s="1">
        <v>43922</v>
      </c>
      <c r="B156" s="4">
        <v>67.539596557617188</v>
      </c>
      <c r="C156" s="2" t="s">
        <v>155</v>
      </c>
      <c r="D156">
        <f t="shared" si="4"/>
        <v>26.48</v>
      </c>
      <c r="E156" s="8">
        <f t="shared" si="5"/>
        <v>3.2763897310688073</v>
      </c>
      <c r="F156" s="2">
        <v>239.93283194886371</v>
      </c>
      <c r="G156" s="6">
        <v>163.65</v>
      </c>
      <c r="H156">
        <v>0</v>
      </c>
      <c r="I156">
        <v>1</v>
      </c>
    </row>
    <row r="157" spans="1:9" x14ac:dyDescent="0.2">
      <c r="A157" s="1">
        <v>43952</v>
      </c>
      <c r="B157" s="4">
        <v>75.353851318359375</v>
      </c>
      <c r="C157" s="2" t="s">
        <v>156</v>
      </c>
      <c r="D157">
        <f t="shared" si="4"/>
        <v>37.840000000000003</v>
      </c>
      <c r="E157" s="8">
        <f t="shared" si="5"/>
        <v>3.6333667441836774</v>
      </c>
      <c r="F157" s="2">
        <v>161.47694159781119</v>
      </c>
      <c r="G157" s="6">
        <v>87.7</v>
      </c>
      <c r="H157">
        <v>0</v>
      </c>
      <c r="I157">
        <v>1</v>
      </c>
    </row>
    <row r="158" spans="1:9" x14ac:dyDescent="0.2">
      <c r="A158" s="1">
        <v>43983</v>
      </c>
      <c r="B158" s="4">
        <v>64.860862731933594</v>
      </c>
      <c r="C158" s="2" t="s">
        <v>157</v>
      </c>
      <c r="D158">
        <f t="shared" si="4"/>
        <v>41.27</v>
      </c>
      <c r="E158" s="8">
        <f t="shared" si="5"/>
        <v>3.7201358437644907</v>
      </c>
      <c r="F158" s="2">
        <v>57.086247228716893</v>
      </c>
      <c r="G158" s="6">
        <v>63.79</v>
      </c>
      <c r="H158">
        <v>0</v>
      </c>
      <c r="I158">
        <v>1</v>
      </c>
    </row>
    <row r="159" spans="1:9" x14ac:dyDescent="0.2">
      <c r="A159" s="1">
        <v>44013</v>
      </c>
      <c r="B159" s="4">
        <v>61.819679260253906</v>
      </c>
      <c r="C159" s="2" t="s">
        <v>158</v>
      </c>
      <c r="D159">
        <f t="shared" si="4"/>
        <v>43.52</v>
      </c>
      <c r="E159" s="8">
        <f t="shared" si="5"/>
        <v>3.7732206025476871</v>
      </c>
      <c r="F159" s="2">
        <v>89.809960658400101</v>
      </c>
      <c r="G159" s="6">
        <v>46.31</v>
      </c>
      <c r="H159">
        <v>0</v>
      </c>
      <c r="I159">
        <v>1</v>
      </c>
    </row>
    <row r="160" spans="1:9" x14ac:dyDescent="0.2">
      <c r="A160" s="1">
        <v>44044</v>
      </c>
      <c r="B160" s="4">
        <v>55.425365447998047</v>
      </c>
      <c r="C160" s="2" t="s">
        <v>159</v>
      </c>
      <c r="D160">
        <f t="shared" si="4"/>
        <v>45.66</v>
      </c>
      <c r="E160" s="8">
        <f t="shared" si="5"/>
        <v>3.8212226411016492</v>
      </c>
      <c r="F160" s="2">
        <v>150.93140279198809</v>
      </c>
      <c r="G160" s="6">
        <v>34.9</v>
      </c>
      <c r="H160">
        <v>0</v>
      </c>
      <c r="I160">
        <v>1</v>
      </c>
    </row>
    <row r="161" spans="1:9" x14ac:dyDescent="0.2">
      <c r="A161" s="1">
        <v>44075</v>
      </c>
      <c r="B161" s="4">
        <v>59.534172058105469</v>
      </c>
      <c r="C161" s="2" t="s">
        <v>160</v>
      </c>
      <c r="D161">
        <f t="shared" si="4"/>
        <v>42.3</v>
      </c>
      <c r="E161" s="8">
        <f t="shared" si="5"/>
        <v>3.7447870860522321</v>
      </c>
      <c r="F161" s="2">
        <v>96.581922214806738</v>
      </c>
      <c r="G161" s="6">
        <v>43.69</v>
      </c>
      <c r="H161">
        <v>0</v>
      </c>
      <c r="I161">
        <v>1</v>
      </c>
    </row>
    <row r="162" spans="1:9" x14ac:dyDescent="0.2">
      <c r="A162" s="1">
        <v>44105</v>
      </c>
      <c r="B162" s="4">
        <v>54.338787078857422</v>
      </c>
      <c r="C162" s="2" t="s">
        <v>161</v>
      </c>
      <c r="D162">
        <f t="shared" si="4"/>
        <v>37.94</v>
      </c>
      <c r="E162" s="8">
        <f t="shared" si="5"/>
        <v>3.6360059645068681</v>
      </c>
      <c r="F162" s="2">
        <v>331.19625445460377</v>
      </c>
      <c r="G162" s="6">
        <v>48.83</v>
      </c>
      <c r="H162">
        <v>0</v>
      </c>
      <c r="I162">
        <v>1</v>
      </c>
    </row>
    <row r="163" spans="1:9" x14ac:dyDescent="0.2">
      <c r="A163" s="1">
        <v>44136</v>
      </c>
      <c r="B163" s="4">
        <v>50.446197509765625</v>
      </c>
      <c r="C163" s="2" t="s">
        <v>162</v>
      </c>
      <c r="D163">
        <f t="shared" si="4"/>
        <v>47.88</v>
      </c>
      <c r="E163" s="8">
        <f t="shared" si="5"/>
        <v>3.8686978806897723</v>
      </c>
      <c r="F163" s="2">
        <v>204.6083444340978</v>
      </c>
      <c r="G163" s="6">
        <v>49.78</v>
      </c>
      <c r="H163">
        <v>0</v>
      </c>
      <c r="I163">
        <v>1</v>
      </c>
    </row>
    <row r="164" spans="1:9" x14ac:dyDescent="0.2">
      <c r="A164" s="1">
        <v>44166</v>
      </c>
      <c r="B164" s="4">
        <v>56.598903656005859</v>
      </c>
      <c r="C164" s="2" t="s">
        <v>163</v>
      </c>
      <c r="D164">
        <f t="shared" si="4"/>
        <v>51.82</v>
      </c>
      <c r="E164" s="8">
        <f t="shared" si="5"/>
        <v>3.9477761751339639</v>
      </c>
      <c r="F164" s="2">
        <v>123.5840211155809</v>
      </c>
      <c r="G164" s="6">
        <v>39.82</v>
      </c>
      <c r="H164">
        <v>0</v>
      </c>
      <c r="I164">
        <v>1</v>
      </c>
    </row>
    <row r="165" spans="1:9" x14ac:dyDescent="0.2">
      <c r="A165" s="1">
        <v>44197</v>
      </c>
      <c r="B165" s="4">
        <v>61.636680603027344</v>
      </c>
      <c r="C165" s="2" t="s">
        <v>164</v>
      </c>
      <c r="D165">
        <f t="shared" si="4"/>
        <v>55.04</v>
      </c>
      <c r="E165" s="8">
        <f t="shared" si="5"/>
        <v>4.0080601936250879</v>
      </c>
      <c r="F165" s="2">
        <v>72.345173252029838</v>
      </c>
      <c r="G165" s="6">
        <v>37.75</v>
      </c>
      <c r="H165">
        <v>0</v>
      </c>
      <c r="I165">
        <v>0</v>
      </c>
    </row>
    <row r="166" spans="1:9" x14ac:dyDescent="0.2">
      <c r="A166" s="1">
        <v>44228</v>
      </c>
      <c r="B166" s="4">
        <v>52.294509887695312</v>
      </c>
      <c r="C166" s="2" t="s">
        <v>165</v>
      </c>
      <c r="D166">
        <f t="shared" si="4"/>
        <v>64.42</v>
      </c>
      <c r="E166" s="8">
        <f t="shared" si="5"/>
        <v>4.1654241439030528</v>
      </c>
      <c r="F166" s="2">
        <v>52.348352128865287</v>
      </c>
      <c r="G166" s="6">
        <v>37.06</v>
      </c>
      <c r="H166">
        <v>0</v>
      </c>
      <c r="I166">
        <v>0</v>
      </c>
    </row>
    <row r="167" spans="1:9" x14ac:dyDescent="0.2">
      <c r="A167" s="1">
        <v>44256</v>
      </c>
      <c r="B167" s="4">
        <v>53.886310577392578</v>
      </c>
      <c r="C167" s="2" t="s">
        <v>166</v>
      </c>
      <c r="D167">
        <f t="shared" si="4"/>
        <v>62.74</v>
      </c>
      <c r="E167" s="8">
        <f t="shared" si="5"/>
        <v>4.1389992027625322</v>
      </c>
      <c r="F167" s="2">
        <v>47.673847749396302</v>
      </c>
      <c r="G167" s="6">
        <v>42.42</v>
      </c>
      <c r="H167">
        <v>0</v>
      </c>
      <c r="I167">
        <v>0</v>
      </c>
    </row>
    <row r="168" spans="1:9" x14ac:dyDescent="0.2">
      <c r="A168" s="1">
        <v>44287</v>
      </c>
      <c r="B168" s="4">
        <v>59.975521087646484</v>
      </c>
      <c r="C168" s="2" t="s">
        <v>167</v>
      </c>
      <c r="D168">
        <f t="shared" si="4"/>
        <v>66.760000000000005</v>
      </c>
      <c r="E168" s="8">
        <f t="shared" si="5"/>
        <v>4.2011040987936346</v>
      </c>
      <c r="F168" s="2">
        <v>72.419087455502108</v>
      </c>
      <c r="G168" s="6">
        <v>38.32</v>
      </c>
      <c r="H168">
        <v>0</v>
      </c>
      <c r="I168">
        <v>0</v>
      </c>
    </row>
    <row r="169" spans="1:9" x14ac:dyDescent="0.2">
      <c r="A169" s="1">
        <v>44317</v>
      </c>
      <c r="B169" s="4">
        <v>70.34014892578125</v>
      </c>
      <c r="C169" s="2" t="s">
        <v>168</v>
      </c>
      <c r="D169">
        <f t="shared" si="4"/>
        <v>68.95</v>
      </c>
      <c r="E169" s="8">
        <f t="shared" si="5"/>
        <v>4.2333816042393106</v>
      </c>
      <c r="F169" s="2">
        <v>42.693271334351749</v>
      </c>
      <c r="G169" s="6">
        <v>37.11</v>
      </c>
      <c r="H169">
        <v>0</v>
      </c>
      <c r="I169">
        <v>0</v>
      </c>
    </row>
    <row r="170" spans="1:9" x14ac:dyDescent="0.2">
      <c r="A170" s="1">
        <v>44348</v>
      </c>
      <c r="B170" s="4">
        <v>59.444995880126953</v>
      </c>
      <c r="C170" s="2" t="s">
        <v>169</v>
      </c>
      <c r="D170">
        <f t="shared" si="4"/>
        <v>74.62</v>
      </c>
      <c r="E170" s="8">
        <f t="shared" si="5"/>
        <v>4.3124085677930122</v>
      </c>
      <c r="F170" s="2">
        <v>40.750572804672721</v>
      </c>
      <c r="G170" s="6">
        <v>33</v>
      </c>
      <c r="H170">
        <v>0</v>
      </c>
      <c r="I170">
        <v>0</v>
      </c>
    </row>
    <row r="171" spans="1:9" x14ac:dyDescent="0.2">
      <c r="A171" s="1">
        <v>44378</v>
      </c>
      <c r="B171" s="4">
        <v>46.875724792480469</v>
      </c>
      <c r="C171" s="2" t="s">
        <v>170</v>
      </c>
      <c r="D171">
        <f t="shared" si="4"/>
        <v>75.41</v>
      </c>
      <c r="E171" s="8">
        <f t="shared" si="5"/>
        <v>4.3229398922145554</v>
      </c>
      <c r="F171" s="2">
        <v>20.80792611607632</v>
      </c>
      <c r="G171" s="6">
        <v>37.71</v>
      </c>
      <c r="H171">
        <v>0</v>
      </c>
      <c r="I171">
        <v>0</v>
      </c>
    </row>
    <row r="172" spans="1:9" x14ac:dyDescent="0.2">
      <c r="A172" s="1">
        <v>44409</v>
      </c>
      <c r="B172" s="4">
        <v>59.063159942626953</v>
      </c>
      <c r="C172" s="2" t="s">
        <v>171</v>
      </c>
      <c r="D172">
        <f t="shared" si="4"/>
        <v>71.63</v>
      </c>
      <c r="E172" s="8">
        <f t="shared" si="5"/>
        <v>4.2715139806263602</v>
      </c>
      <c r="F172" s="2">
        <v>31.874577466506441</v>
      </c>
      <c r="G172" s="6">
        <v>38.200000000000003</v>
      </c>
      <c r="H172">
        <v>0</v>
      </c>
      <c r="I172">
        <v>0</v>
      </c>
    </row>
    <row r="173" spans="1:9" x14ac:dyDescent="0.2">
      <c r="A173" s="1">
        <v>44440</v>
      </c>
      <c r="B173" s="4">
        <v>64.566619873046875</v>
      </c>
      <c r="C173" s="2" t="s">
        <v>172</v>
      </c>
      <c r="D173">
        <f t="shared" si="4"/>
        <v>78.31</v>
      </c>
      <c r="E173" s="8">
        <f t="shared" si="5"/>
        <v>4.360675308762846</v>
      </c>
      <c r="F173" s="2">
        <v>7.6726184335797338</v>
      </c>
      <c r="G173" s="6">
        <v>34.01</v>
      </c>
      <c r="H173">
        <v>0</v>
      </c>
      <c r="I173">
        <v>0</v>
      </c>
    </row>
    <row r="174" spans="1:9" x14ac:dyDescent="0.2">
      <c r="A174" s="1">
        <v>44470</v>
      </c>
      <c r="B174" s="4">
        <v>53.482902526855469</v>
      </c>
      <c r="C174" s="2" t="s">
        <v>173</v>
      </c>
      <c r="D174">
        <f t="shared" si="4"/>
        <v>83.72</v>
      </c>
      <c r="E174" s="8">
        <f t="shared" si="5"/>
        <v>4.4274778975777993</v>
      </c>
      <c r="F174" s="2">
        <v>40.942714573602061</v>
      </c>
      <c r="G174" s="6">
        <v>37.28</v>
      </c>
      <c r="H174">
        <v>0</v>
      </c>
      <c r="I174">
        <v>0</v>
      </c>
    </row>
    <row r="175" spans="1:9" x14ac:dyDescent="0.2">
      <c r="A175" s="1">
        <v>44501</v>
      </c>
      <c r="B175" s="4">
        <v>52.676792144775391</v>
      </c>
      <c r="C175" s="2" t="s">
        <v>174</v>
      </c>
      <c r="D175">
        <f t="shared" si="4"/>
        <v>69.23</v>
      </c>
      <c r="E175" s="8">
        <f t="shared" si="5"/>
        <v>4.2374342946899342</v>
      </c>
      <c r="F175" s="2">
        <v>53.022958656656023</v>
      </c>
      <c r="G175" s="6">
        <v>41.05</v>
      </c>
      <c r="H175">
        <v>0</v>
      </c>
      <c r="I175">
        <v>0</v>
      </c>
    </row>
    <row r="176" spans="1:9" x14ac:dyDescent="0.2">
      <c r="A176" s="1">
        <v>44531</v>
      </c>
      <c r="B176" s="4">
        <v>69.357078552246094</v>
      </c>
      <c r="C176" s="2" t="s">
        <v>175</v>
      </c>
      <c r="D176">
        <f t="shared" si="4"/>
        <v>77.349999999999994</v>
      </c>
      <c r="E176" s="8">
        <f t="shared" si="5"/>
        <v>4.3483405770190746</v>
      </c>
      <c r="F176" s="2">
        <v>24.930457398068562</v>
      </c>
      <c r="G176" s="6">
        <v>50.11</v>
      </c>
      <c r="H176">
        <v>0</v>
      </c>
      <c r="I176">
        <v>0</v>
      </c>
    </row>
    <row r="177" spans="1:9" x14ac:dyDescent="0.2">
      <c r="A177" s="1">
        <v>44562</v>
      </c>
      <c r="B177" s="4">
        <v>85.095382690429688</v>
      </c>
      <c r="C177" s="2" t="s">
        <v>176</v>
      </c>
      <c r="D177">
        <f t="shared" si="4"/>
        <v>89.26</v>
      </c>
      <c r="E177" s="8">
        <f t="shared" si="5"/>
        <v>4.4915534592011239</v>
      </c>
      <c r="F177" s="2">
        <v>37.45707675166372</v>
      </c>
      <c r="G177" s="6">
        <v>41.35</v>
      </c>
      <c r="H177">
        <v>0</v>
      </c>
      <c r="I177">
        <v>0</v>
      </c>
    </row>
    <row r="178" spans="1:9" x14ac:dyDescent="0.2">
      <c r="A178" s="1">
        <v>44593</v>
      </c>
      <c r="B178" s="4">
        <v>120.52434539794922</v>
      </c>
      <c r="C178" s="2" t="s">
        <v>177</v>
      </c>
      <c r="D178">
        <f t="shared" si="4"/>
        <v>97.97</v>
      </c>
      <c r="E178" s="8">
        <f t="shared" si="5"/>
        <v>4.5846613093565507</v>
      </c>
      <c r="F178" s="2">
        <v>113.8312137095734</v>
      </c>
      <c r="G178" s="6">
        <v>46.73</v>
      </c>
      <c r="H178">
        <v>1</v>
      </c>
      <c r="I178">
        <v>0</v>
      </c>
    </row>
    <row r="179" spans="1:9" x14ac:dyDescent="0.2">
      <c r="A179" s="1">
        <v>44621</v>
      </c>
      <c r="B179" s="4">
        <v>167.34440612792969</v>
      </c>
      <c r="C179" s="2" t="s">
        <v>178</v>
      </c>
      <c r="D179">
        <f t="shared" si="4"/>
        <v>104.71</v>
      </c>
      <c r="E179" s="8">
        <f t="shared" si="5"/>
        <v>4.6511946242993707</v>
      </c>
      <c r="F179" s="2">
        <v>70.311721013902741</v>
      </c>
      <c r="G179" s="6">
        <v>67.5</v>
      </c>
      <c r="H179">
        <v>1</v>
      </c>
      <c r="I179">
        <v>0</v>
      </c>
    </row>
    <row r="180" spans="1:9" x14ac:dyDescent="0.2">
      <c r="A180" s="1">
        <v>44652</v>
      </c>
      <c r="B180" s="4">
        <v>127.23625946044922</v>
      </c>
      <c r="C180" s="2" t="s">
        <v>179</v>
      </c>
      <c r="D180">
        <f t="shared" si="4"/>
        <v>107.14</v>
      </c>
      <c r="E180" s="8">
        <f t="shared" si="5"/>
        <v>4.6741363904528139</v>
      </c>
      <c r="F180" s="2">
        <v>44.537893575411793</v>
      </c>
      <c r="G180" s="6">
        <v>52.85</v>
      </c>
      <c r="H180">
        <v>1</v>
      </c>
      <c r="I180">
        <v>0</v>
      </c>
    </row>
    <row r="181" spans="1:9" x14ac:dyDescent="0.2">
      <c r="A181" s="1">
        <v>44682</v>
      </c>
      <c r="B181" s="4">
        <v>99.604827880859375</v>
      </c>
      <c r="C181" s="2" t="s">
        <v>180</v>
      </c>
      <c r="D181">
        <f t="shared" si="4"/>
        <v>115.6</v>
      </c>
      <c r="E181" s="8">
        <f t="shared" si="5"/>
        <v>4.7501359562382772</v>
      </c>
      <c r="F181" s="2">
        <v>78.178057814442212</v>
      </c>
      <c r="G181" s="6">
        <v>51.64</v>
      </c>
      <c r="H181">
        <v>1</v>
      </c>
      <c r="I181">
        <v>0</v>
      </c>
    </row>
    <row r="182" spans="1:9" x14ac:dyDescent="0.2">
      <c r="A182" s="1">
        <v>44713</v>
      </c>
      <c r="B182" s="4">
        <v>100.10216522216797</v>
      </c>
      <c r="C182" s="2" t="s">
        <v>181</v>
      </c>
      <c r="D182">
        <f t="shared" si="4"/>
        <v>109.03</v>
      </c>
      <c r="E182" s="8">
        <f t="shared" si="5"/>
        <v>4.69162307371829</v>
      </c>
      <c r="F182" s="2">
        <v>97.342332463588605</v>
      </c>
      <c r="G182" s="6">
        <v>47</v>
      </c>
      <c r="H182">
        <v>1</v>
      </c>
      <c r="I182">
        <v>0</v>
      </c>
    </row>
    <row r="183" spans="1:9" x14ac:dyDescent="0.2">
      <c r="A183" s="1">
        <v>44743</v>
      </c>
      <c r="B183" s="4">
        <v>97.2652587890625</v>
      </c>
      <c r="C183" s="2" t="s">
        <v>182</v>
      </c>
      <c r="D183">
        <f t="shared" si="4"/>
        <v>103.97</v>
      </c>
      <c r="E183" s="8">
        <f t="shared" si="5"/>
        <v>4.6441023959898784</v>
      </c>
      <c r="F183" s="2">
        <v>71.545074087536392</v>
      </c>
      <c r="G183" s="6">
        <v>50.44</v>
      </c>
      <c r="H183">
        <v>1</v>
      </c>
      <c r="I183">
        <v>0</v>
      </c>
    </row>
    <row r="184" spans="1:9" x14ac:dyDescent="0.2">
      <c r="A184" s="1">
        <v>44774</v>
      </c>
      <c r="B184" s="4">
        <v>119.83222198486328</v>
      </c>
      <c r="C184" s="2" t="s">
        <v>183</v>
      </c>
      <c r="D184">
        <f t="shared" si="4"/>
        <v>95.64</v>
      </c>
      <c r="E184" s="8">
        <f t="shared" si="5"/>
        <v>4.5605911425901242</v>
      </c>
      <c r="F184" s="2">
        <v>150.4923023356838</v>
      </c>
      <c r="G184" s="6">
        <v>48.84</v>
      </c>
      <c r="H184">
        <v>1</v>
      </c>
      <c r="I184">
        <v>0</v>
      </c>
    </row>
    <row r="185" spans="1:9" x14ac:dyDescent="0.2">
      <c r="A185" s="1">
        <v>44805</v>
      </c>
      <c r="B185" s="4">
        <v>112.98688507080078</v>
      </c>
      <c r="C185" s="2" t="s">
        <v>184</v>
      </c>
      <c r="D185">
        <f t="shared" si="4"/>
        <v>85.14</v>
      </c>
      <c r="E185" s="8">
        <f t="shared" si="5"/>
        <v>4.4442969604000062</v>
      </c>
      <c r="F185" s="2">
        <v>50.425833021947973</v>
      </c>
      <c r="G185" s="6">
        <v>50.44</v>
      </c>
      <c r="H185">
        <v>1</v>
      </c>
      <c r="I185">
        <v>0</v>
      </c>
    </row>
    <row r="186" spans="1:9" x14ac:dyDescent="0.2">
      <c r="A186" s="1">
        <v>44835</v>
      </c>
      <c r="B186" s="4">
        <v>129.13845825195312</v>
      </c>
      <c r="C186" s="2" t="s">
        <v>185</v>
      </c>
      <c r="D186">
        <f t="shared" si="4"/>
        <v>92.81</v>
      </c>
      <c r="E186" s="8">
        <f t="shared" si="5"/>
        <v>4.5305543926073018</v>
      </c>
      <c r="F186" s="2">
        <v>92.840876451409855</v>
      </c>
      <c r="G186" s="6">
        <v>50.61</v>
      </c>
      <c r="H186">
        <v>1</v>
      </c>
      <c r="I186">
        <v>0</v>
      </c>
    </row>
    <row r="187" spans="1:9" x14ac:dyDescent="0.2">
      <c r="A187" s="1">
        <v>44866</v>
      </c>
      <c r="B187" s="4">
        <v>100.43695831298828</v>
      </c>
      <c r="C187" s="2" t="s">
        <v>186</v>
      </c>
      <c r="D187">
        <f t="shared" si="4"/>
        <v>86.97</v>
      </c>
      <c r="E187" s="8">
        <f t="shared" si="5"/>
        <v>4.4655632316016742</v>
      </c>
      <c r="F187" s="2">
        <v>81.308891572777497</v>
      </c>
      <c r="G187" s="6">
        <v>46.53</v>
      </c>
      <c r="H187">
        <v>1</v>
      </c>
      <c r="I187">
        <v>0</v>
      </c>
    </row>
    <row r="188" spans="1:9" x14ac:dyDescent="0.2">
      <c r="A188" s="1">
        <v>44896</v>
      </c>
      <c r="B188" s="4">
        <v>95.667579650878906</v>
      </c>
      <c r="C188" s="2" t="s">
        <v>187</v>
      </c>
      <c r="D188">
        <f t="shared" si="4"/>
        <v>85.65</v>
      </c>
      <c r="E188" s="8">
        <f t="shared" si="5"/>
        <v>4.4502692247701292</v>
      </c>
      <c r="F188" s="2">
        <v>16.205068934524409</v>
      </c>
      <c r="G188" s="6">
        <v>43.86</v>
      </c>
      <c r="H188">
        <v>1</v>
      </c>
      <c r="I188">
        <v>0</v>
      </c>
    </row>
    <row r="189" spans="1:9" x14ac:dyDescent="0.2">
      <c r="A189" s="1">
        <v>44927</v>
      </c>
      <c r="B189" s="4">
        <v>81.176460266113281</v>
      </c>
      <c r="C189" s="2" t="s">
        <v>188</v>
      </c>
      <c r="D189">
        <f t="shared" si="4"/>
        <v>85.46</v>
      </c>
      <c r="E189" s="8">
        <f t="shared" si="5"/>
        <v>4.4480484302158789</v>
      </c>
      <c r="F189" s="2">
        <v>100.53236887153101</v>
      </c>
      <c r="G189" s="6">
        <v>40.28</v>
      </c>
      <c r="H189">
        <v>1</v>
      </c>
      <c r="I189">
        <v>0</v>
      </c>
    </row>
    <row r="190" spans="1:9" x14ac:dyDescent="0.2">
      <c r="A190" s="1">
        <v>44958</v>
      </c>
      <c r="B190" s="4">
        <v>100.30805206298828</v>
      </c>
      <c r="C190" s="2" t="s">
        <v>189</v>
      </c>
      <c r="D190">
        <f t="shared" si="4"/>
        <v>83.45</v>
      </c>
      <c r="E190" s="8">
        <f t="shared" si="5"/>
        <v>4.4242476501078443</v>
      </c>
      <c r="F190" s="2">
        <v>26.53255624033099</v>
      </c>
      <c r="G190" s="6">
        <v>37.07</v>
      </c>
      <c r="H190">
        <v>1</v>
      </c>
      <c r="I190">
        <v>0</v>
      </c>
    </row>
    <row r="191" spans="1:9" x14ac:dyDescent="0.2">
      <c r="A191" s="1">
        <v>44986</v>
      </c>
      <c r="B191" s="4">
        <v>95.413436889648438</v>
      </c>
      <c r="C191" s="2" t="s">
        <v>190</v>
      </c>
      <c r="D191">
        <f t="shared" si="4"/>
        <v>79.89</v>
      </c>
      <c r="E191" s="8">
        <f t="shared" si="5"/>
        <v>4.3806506884939509</v>
      </c>
      <c r="F191" s="2">
        <v>85.592664827516003</v>
      </c>
      <c r="G191" s="6">
        <v>42.24</v>
      </c>
      <c r="H191">
        <v>1</v>
      </c>
      <c r="I191">
        <v>0</v>
      </c>
    </row>
    <row r="192" spans="1:9" x14ac:dyDescent="0.2">
      <c r="A192" s="1">
        <v>45017</v>
      </c>
      <c r="B192" s="4">
        <v>89.502388000488281</v>
      </c>
      <c r="C192" s="2" t="s">
        <v>191</v>
      </c>
      <c r="D192">
        <f t="shared" si="4"/>
        <v>80.33</v>
      </c>
      <c r="E192" s="8">
        <f t="shared" si="5"/>
        <v>4.3861431501857213</v>
      </c>
      <c r="F192" s="2">
        <v>46.173312643995239</v>
      </c>
      <c r="G192" s="6">
        <v>35.61</v>
      </c>
      <c r="H192">
        <v>1</v>
      </c>
      <c r="I192">
        <v>0</v>
      </c>
    </row>
    <row r="193" spans="1:9" x14ac:dyDescent="0.2">
      <c r="A193" s="1">
        <v>45047</v>
      </c>
      <c r="B193" s="4">
        <v>86.642433166503906</v>
      </c>
      <c r="C193" s="2" t="s">
        <v>192</v>
      </c>
      <c r="D193">
        <f t="shared" si="4"/>
        <v>72.599999999999994</v>
      </c>
      <c r="E193" s="8">
        <f t="shared" si="5"/>
        <v>4.28496492183075</v>
      </c>
      <c r="F193" s="2">
        <v>90.058278379250254</v>
      </c>
      <c r="G193" s="6">
        <v>37.119999999999997</v>
      </c>
      <c r="H193">
        <v>1</v>
      </c>
      <c r="I193">
        <v>0</v>
      </c>
    </row>
    <row r="194" spans="1:9" x14ac:dyDescent="0.2">
      <c r="A194" s="1">
        <v>45078</v>
      </c>
      <c r="B194" s="4">
        <v>100.80218505859375</v>
      </c>
      <c r="C194" s="2" t="s">
        <v>170</v>
      </c>
      <c r="D194">
        <f t="shared" ref="D194:D257" si="6">SUBSTITUTE(C194,".",",")*1</f>
        <v>75.41</v>
      </c>
      <c r="E194" s="8">
        <f t="shared" si="5"/>
        <v>4.3229398922145554</v>
      </c>
      <c r="F194" s="2">
        <v>45.437647365036092</v>
      </c>
      <c r="G194" s="6">
        <v>35.47</v>
      </c>
      <c r="H194">
        <v>1</v>
      </c>
      <c r="I194">
        <v>0</v>
      </c>
    </row>
    <row r="195" spans="1:9" x14ac:dyDescent="0.2">
      <c r="A195" s="1">
        <v>45108</v>
      </c>
      <c r="B195" s="4">
        <v>94.537269592285156</v>
      </c>
      <c r="C195" s="2" t="s">
        <v>193</v>
      </c>
      <c r="D195">
        <f t="shared" si="6"/>
        <v>85.43</v>
      </c>
      <c r="E195" s="8">
        <f t="shared" ref="E195:E227" si="7">LN(D195)</f>
        <v>4.4476973271635272</v>
      </c>
      <c r="F195" s="2">
        <v>6.4672766653756053</v>
      </c>
      <c r="G195" s="6">
        <v>31.58</v>
      </c>
      <c r="H195">
        <v>1</v>
      </c>
      <c r="I195">
        <v>0</v>
      </c>
    </row>
    <row r="196" spans="1:9" x14ac:dyDescent="0.2">
      <c r="A196" s="1">
        <v>45139</v>
      </c>
      <c r="B196" s="4">
        <v>74.219841003417969</v>
      </c>
      <c r="C196" s="2" t="s">
        <v>194</v>
      </c>
      <c r="D196">
        <f t="shared" si="6"/>
        <v>86.83</v>
      </c>
      <c r="E196" s="8">
        <f t="shared" si="7"/>
        <v>4.4639521840725536</v>
      </c>
      <c r="F196" s="2">
        <v>31.831325105956559</v>
      </c>
      <c r="G196" s="6">
        <v>28.16</v>
      </c>
      <c r="H196">
        <v>1</v>
      </c>
      <c r="I196">
        <v>0</v>
      </c>
    </row>
    <row r="197" spans="1:9" x14ac:dyDescent="0.2">
      <c r="A197" s="1">
        <v>45170</v>
      </c>
      <c r="B197" s="4">
        <v>69.455848693847656</v>
      </c>
      <c r="C197" s="2" t="s">
        <v>195</v>
      </c>
      <c r="D197">
        <f t="shared" si="6"/>
        <v>92.2</v>
      </c>
      <c r="E197" s="8">
        <f t="shared" si="7"/>
        <v>4.5239601305625481</v>
      </c>
      <c r="F197" s="2">
        <v>25.78583853503708</v>
      </c>
      <c r="G197" s="6">
        <v>28.79</v>
      </c>
      <c r="H197">
        <v>1</v>
      </c>
      <c r="I197">
        <v>0</v>
      </c>
    </row>
    <row r="198" spans="1:9" x14ac:dyDescent="0.2">
      <c r="A198" s="1">
        <v>45200</v>
      </c>
      <c r="B198" s="4">
        <v>138.62757873535156</v>
      </c>
      <c r="C198" s="2" t="s">
        <v>196</v>
      </c>
      <c r="D198">
        <f t="shared" si="6"/>
        <v>85.02</v>
      </c>
      <c r="E198" s="8">
        <f t="shared" si="7"/>
        <v>4.4428865229306442</v>
      </c>
      <c r="F198" s="2">
        <v>33.341331309603483</v>
      </c>
      <c r="G198" s="6">
        <v>40.65</v>
      </c>
      <c r="H198">
        <v>1</v>
      </c>
      <c r="I198">
        <v>0</v>
      </c>
    </row>
    <row r="199" spans="1:9" x14ac:dyDescent="0.2">
      <c r="A199" s="1">
        <v>45231</v>
      </c>
      <c r="B199" s="4">
        <v>138.68270874023438</v>
      </c>
      <c r="C199" s="2" t="s">
        <v>197</v>
      </c>
      <c r="D199">
        <f t="shared" si="6"/>
        <v>80.86</v>
      </c>
      <c r="E199" s="8">
        <f t="shared" si="7"/>
        <v>4.3927192642126247</v>
      </c>
      <c r="F199" s="2">
        <v>17.44639499780336</v>
      </c>
      <c r="G199" s="6">
        <v>40.380000000000003</v>
      </c>
      <c r="H199">
        <v>1</v>
      </c>
      <c r="I199">
        <v>0</v>
      </c>
    </row>
    <row r="200" spans="1:9" x14ac:dyDescent="0.2">
      <c r="A200" s="1">
        <v>45261</v>
      </c>
      <c r="B200" s="4">
        <v>125.21025085449219</v>
      </c>
      <c r="C200" s="2" t="s">
        <v>198</v>
      </c>
      <c r="D200">
        <f t="shared" si="6"/>
        <v>77.040000000000006</v>
      </c>
      <c r="E200" s="8">
        <f t="shared" si="7"/>
        <v>4.3443247674898702</v>
      </c>
      <c r="F200" s="2">
        <v>18.73614385263912</v>
      </c>
      <c r="G200" s="6">
        <v>35.99</v>
      </c>
      <c r="H200">
        <v>1</v>
      </c>
      <c r="I200">
        <v>0</v>
      </c>
    </row>
    <row r="201" spans="1:9" x14ac:dyDescent="0.2">
      <c r="A201" s="1">
        <v>45292</v>
      </c>
      <c r="B201" s="4">
        <v>119.98468780517578</v>
      </c>
      <c r="C201" s="2" t="s">
        <v>199</v>
      </c>
      <c r="D201">
        <f t="shared" si="6"/>
        <v>81.709999999999994</v>
      </c>
      <c r="E201" s="8">
        <f t="shared" si="7"/>
        <v>4.4031763933966159</v>
      </c>
      <c r="F201" s="2">
        <v>45.161412087231298</v>
      </c>
      <c r="G201" s="6">
        <v>36.619999999999997</v>
      </c>
      <c r="H201">
        <v>1</v>
      </c>
      <c r="I201">
        <v>0</v>
      </c>
    </row>
    <row r="202" spans="1:9" x14ac:dyDescent="0.2">
      <c r="A202" s="1">
        <v>45323</v>
      </c>
      <c r="B202" s="4">
        <v>109.94950103759766</v>
      </c>
      <c r="C202" s="2" t="s">
        <v>200</v>
      </c>
      <c r="D202">
        <f t="shared" si="6"/>
        <v>81.91</v>
      </c>
      <c r="E202" s="8">
        <f t="shared" si="7"/>
        <v>4.4056210835275103</v>
      </c>
      <c r="F202" s="2">
        <v>220.0677701742774</v>
      </c>
      <c r="G202" s="6">
        <v>32.21</v>
      </c>
      <c r="H202">
        <v>1</v>
      </c>
      <c r="I202">
        <v>0</v>
      </c>
    </row>
    <row r="203" spans="1:9" x14ac:dyDescent="0.2">
      <c r="A203" s="1">
        <v>45352</v>
      </c>
      <c r="B203" s="4">
        <v>96.974052429199219</v>
      </c>
      <c r="C203" s="2">
        <v>87</v>
      </c>
      <c r="D203">
        <f t="shared" si="6"/>
        <v>87</v>
      </c>
      <c r="E203" s="8">
        <f t="shared" si="7"/>
        <v>4.4659081186545837</v>
      </c>
      <c r="F203" s="2">
        <v>44.783825960127047</v>
      </c>
      <c r="G203" s="6">
        <v>28.99</v>
      </c>
      <c r="H203">
        <v>1</v>
      </c>
      <c r="I203">
        <v>0</v>
      </c>
    </row>
    <row r="204" spans="1:9" x14ac:dyDescent="0.2">
      <c r="A204" s="1">
        <v>45383</v>
      </c>
      <c r="B204" s="4">
        <v>112.007080078125</v>
      </c>
      <c r="C204" s="2" t="s">
        <v>201</v>
      </c>
      <c r="D204">
        <f t="shared" si="6"/>
        <v>86.33</v>
      </c>
      <c r="E204" s="8">
        <f t="shared" si="7"/>
        <v>4.4581771622474315</v>
      </c>
      <c r="F204" s="2">
        <v>46.127965750226871</v>
      </c>
      <c r="G204" s="6">
        <v>30.38</v>
      </c>
      <c r="H204">
        <v>1</v>
      </c>
      <c r="I204">
        <v>1</v>
      </c>
    </row>
    <row r="205" spans="1:9" x14ac:dyDescent="0.2">
      <c r="A205" s="1">
        <v>45413</v>
      </c>
      <c r="B205" s="4">
        <v>107.46190643310547</v>
      </c>
      <c r="C205" s="2" t="s">
        <v>202</v>
      </c>
      <c r="D205">
        <f t="shared" si="6"/>
        <v>81.11</v>
      </c>
      <c r="E205" s="8">
        <f t="shared" si="7"/>
        <v>4.3958062580822537</v>
      </c>
      <c r="F205" s="2">
        <v>128.79600085457491</v>
      </c>
      <c r="G205" s="6">
        <v>28.04</v>
      </c>
      <c r="H205">
        <v>1</v>
      </c>
      <c r="I205">
        <v>1</v>
      </c>
    </row>
    <row r="206" spans="1:9" x14ac:dyDescent="0.2">
      <c r="A206" s="1">
        <v>45444</v>
      </c>
      <c r="B206" s="4">
        <v>86.771110534667969</v>
      </c>
      <c r="C206" s="2">
        <v>85</v>
      </c>
      <c r="D206">
        <f t="shared" si="6"/>
        <v>85</v>
      </c>
      <c r="E206" s="8">
        <f t="shared" si="7"/>
        <v>4.4426512564903167</v>
      </c>
      <c r="F206" s="2">
        <v>66.368619498503108</v>
      </c>
      <c r="G206" s="6">
        <v>26.16</v>
      </c>
      <c r="H206">
        <v>1</v>
      </c>
      <c r="I206">
        <v>1</v>
      </c>
    </row>
    <row r="207" spans="1:9" x14ac:dyDescent="0.2">
      <c r="A207" s="1">
        <v>45474</v>
      </c>
      <c r="B207" s="4">
        <v>71.844032287597656</v>
      </c>
      <c r="C207" s="2" t="s">
        <v>203</v>
      </c>
      <c r="D207">
        <f t="shared" si="6"/>
        <v>80.84</v>
      </c>
      <c r="E207" s="8">
        <f t="shared" si="7"/>
        <v>4.3924718925354203</v>
      </c>
      <c r="F207" s="2">
        <v>161.2128012408059</v>
      </c>
      <c r="G207" s="6">
        <v>26.38</v>
      </c>
      <c r="H207">
        <v>1</v>
      </c>
      <c r="I207">
        <v>1</v>
      </c>
    </row>
    <row r="208" spans="1:9" x14ac:dyDescent="0.2">
      <c r="A208" s="1">
        <v>45505</v>
      </c>
      <c r="B208" s="4">
        <v>105.30271911621094</v>
      </c>
      <c r="C208" s="2" t="s">
        <v>204</v>
      </c>
      <c r="D208">
        <f t="shared" si="6"/>
        <v>76.930000000000007</v>
      </c>
      <c r="E208" s="8">
        <f t="shared" si="7"/>
        <v>4.3428959174708437</v>
      </c>
      <c r="F208" s="2">
        <v>221.59175922425399</v>
      </c>
      <c r="G208" s="6">
        <v>33.78</v>
      </c>
      <c r="H208">
        <v>1</v>
      </c>
      <c r="I208">
        <v>1</v>
      </c>
    </row>
    <row r="209" spans="1:9" x14ac:dyDescent="0.2">
      <c r="A209" s="1">
        <v>45536</v>
      </c>
      <c r="B209" s="4">
        <v>95.699333190917969</v>
      </c>
      <c r="C209" s="2" t="s">
        <v>205</v>
      </c>
      <c r="D209">
        <f t="shared" si="6"/>
        <v>71.77</v>
      </c>
      <c r="E209" s="8">
        <f t="shared" si="7"/>
        <v>4.2734665614419809</v>
      </c>
      <c r="F209" s="2">
        <v>94.884039496721584</v>
      </c>
      <c r="G209" s="6">
        <v>36.39</v>
      </c>
      <c r="H209">
        <v>1</v>
      </c>
      <c r="I209">
        <v>0</v>
      </c>
    </row>
    <row r="210" spans="1:9" x14ac:dyDescent="0.2">
      <c r="A210" s="1">
        <v>45566</v>
      </c>
      <c r="B210" s="4">
        <v>90.894554138183594</v>
      </c>
      <c r="C210" s="2" t="s">
        <v>206</v>
      </c>
      <c r="D210">
        <f t="shared" si="6"/>
        <v>72.81</v>
      </c>
      <c r="E210" s="8">
        <f t="shared" si="7"/>
        <v>4.2878533084066195</v>
      </c>
      <c r="F210" s="2">
        <v>194.75613686819591</v>
      </c>
      <c r="G210" s="6">
        <v>47.84</v>
      </c>
      <c r="H210">
        <v>1</v>
      </c>
      <c r="I210">
        <v>0</v>
      </c>
    </row>
    <row r="211" spans="1:9" x14ac:dyDescent="0.2">
      <c r="A211" s="1">
        <v>45597</v>
      </c>
      <c r="B211" s="4">
        <v>94.961570739746094</v>
      </c>
      <c r="C211" s="2" t="s">
        <v>207</v>
      </c>
      <c r="D211">
        <f t="shared" si="6"/>
        <v>71.84</v>
      </c>
      <c r="E211" s="8">
        <f t="shared" si="7"/>
        <v>4.2744414239939443</v>
      </c>
      <c r="F211" s="2">
        <v>1401.6795495949609</v>
      </c>
      <c r="G211" s="6">
        <v>38.42</v>
      </c>
      <c r="H211">
        <v>1</v>
      </c>
      <c r="I211">
        <v>0</v>
      </c>
    </row>
    <row r="212" spans="1:9" x14ac:dyDescent="0.2">
      <c r="A212" s="1">
        <v>45627</v>
      </c>
      <c r="B212" s="4">
        <v>116.52146148681641</v>
      </c>
      <c r="C212" s="2" t="s">
        <v>42</v>
      </c>
      <c r="D212">
        <f t="shared" si="6"/>
        <v>74.64</v>
      </c>
      <c r="E212" s="8">
        <f t="shared" si="7"/>
        <v>4.3126765565390883</v>
      </c>
      <c r="F212" s="2">
        <v>1319.0059439550159</v>
      </c>
      <c r="G212" s="6">
        <v>31.35</v>
      </c>
      <c r="H212">
        <v>1</v>
      </c>
      <c r="I212">
        <v>0</v>
      </c>
    </row>
    <row r="213" spans="1:9" x14ac:dyDescent="0.2">
      <c r="A213" s="1">
        <v>45658</v>
      </c>
      <c r="B213" s="4">
        <v>100.89180755615234</v>
      </c>
      <c r="C213" s="2" t="s">
        <v>208</v>
      </c>
      <c r="D213">
        <f t="shared" si="6"/>
        <v>76.760000000000005</v>
      </c>
      <c r="E213" s="8">
        <f t="shared" si="7"/>
        <v>4.3406836711394989</v>
      </c>
      <c r="F213" s="2">
        <v>1725.709653866176</v>
      </c>
      <c r="G213" s="6">
        <v>32.42</v>
      </c>
      <c r="H213">
        <v>1</v>
      </c>
      <c r="I213">
        <v>0</v>
      </c>
    </row>
    <row r="214" spans="1:9" x14ac:dyDescent="0.2">
      <c r="A214" s="1">
        <v>45689</v>
      </c>
      <c r="B214" s="4">
        <v>94.502044677734375</v>
      </c>
      <c r="C214" s="2" t="s">
        <v>206</v>
      </c>
      <c r="D214">
        <f t="shared" si="6"/>
        <v>72.81</v>
      </c>
      <c r="E214" s="8">
        <f t="shared" si="7"/>
        <v>4.2878533084066195</v>
      </c>
      <c r="F214" s="2">
        <v>2583.8987930466542</v>
      </c>
      <c r="G214" s="6">
        <v>31.72</v>
      </c>
      <c r="H214">
        <v>1</v>
      </c>
      <c r="I214">
        <v>0</v>
      </c>
    </row>
    <row r="215" spans="1:9" x14ac:dyDescent="0.2">
      <c r="A215" s="1">
        <v>45717</v>
      </c>
      <c r="B215" s="4">
        <v>119.587890625</v>
      </c>
      <c r="C215" s="2" t="s">
        <v>209</v>
      </c>
      <c r="D215">
        <f t="shared" si="6"/>
        <v>74.739999999999995</v>
      </c>
      <c r="E215" s="8">
        <f t="shared" si="7"/>
        <v>4.3140154240573381</v>
      </c>
      <c r="F215" s="2">
        <v>5912.1076566959273</v>
      </c>
      <c r="G215" s="6">
        <v>32.19</v>
      </c>
      <c r="H215">
        <v>1</v>
      </c>
      <c r="I215">
        <v>0</v>
      </c>
    </row>
    <row r="216" spans="1:9" x14ac:dyDescent="0.2">
      <c r="A216" s="1">
        <v>45748</v>
      </c>
      <c r="B216" s="4">
        <v>111.29067993164062</v>
      </c>
      <c r="C216" s="2" t="s">
        <v>210</v>
      </c>
      <c r="D216">
        <f t="shared" si="6"/>
        <v>63.12</v>
      </c>
      <c r="E216" s="8">
        <f t="shared" si="7"/>
        <v>4.1450376765376191</v>
      </c>
      <c r="F216" s="2">
        <v>7955.6469824413298</v>
      </c>
      <c r="G216" s="6">
        <v>44.22</v>
      </c>
      <c r="H216">
        <v>1</v>
      </c>
      <c r="I216">
        <v>0</v>
      </c>
    </row>
    <row r="217" spans="1:9" x14ac:dyDescent="0.2">
      <c r="A217" s="1">
        <v>45778</v>
      </c>
      <c r="B217" s="4">
        <v>128.90989685058594</v>
      </c>
      <c r="C217" s="2" t="s">
        <v>211</v>
      </c>
      <c r="D217">
        <f t="shared" si="6"/>
        <v>63.9</v>
      </c>
      <c r="E217" s="8">
        <f t="shared" si="7"/>
        <v>4.1573193613834887</v>
      </c>
      <c r="F217" s="2">
        <v>5780.0370657017093</v>
      </c>
      <c r="G217" s="6">
        <v>40.770000000000003</v>
      </c>
      <c r="H217">
        <v>1</v>
      </c>
      <c r="I217">
        <v>0</v>
      </c>
    </row>
    <row r="218" spans="1:9" x14ac:dyDescent="0.2">
      <c r="A218" s="1">
        <v>45809</v>
      </c>
      <c r="B218" s="4">
        <v>156.36903381347656</v>
      </c>
      <c r="C218" s="2" t="s">
        <v>212</v>
      </c>
      <c r="D218">
        <f t="shared" si="6"/>
        <v>67.61</v>
      </c>
      <c r="E218" s="8">
        <f t="shared" si="7"/>
        <v>4.2137559011025862</v>
      </c>
      <c r="F218" s="2">
        <v>3537.4698684264749</v>
      </c>
      <c r="G218" s="6">
        <v>46.35</v>
      </c>
      <c r="H218">
        <v>1</v>
      </c>
      <c r="I218">
        <v>1</v>
      </c>
    </row>
    <row r="219" spans="1:9" x14ac:dyDescent="0.2">
      <c r="A219" s="1">
        <v>45839</v>
      </c>
      <c r="B219" s="4">
        <v>106.19876098632812</v>
      </c>
      <c r="C219" s="2" t="s">
        <v>29</v>
      </c>
      <c r="D219">
        <f t="shared" si="6"/>
        <v>71.7</v>
      </c>
      <c r="E219" s="8">
        <f t="shared" si="7"/>
        <v>4.2724907476055751</v>
      </c>
      <c r="F219" s="2">
        <v>3371.6439272584471</v>
      </c>
      <c r="G219" s="6">
        <v>35.1</v>
      </c>
      <c r="H219">
        <v>1</v>
      </c>
      <c r="I219">
        <v>1</v>
      </c>
    </row>
    <row r="220" spans="1:9" x14ac:dyDescent="0.2">
      <c r="A220" s="1">
        <v>45870</v>
      </c>
      <c r="B220" s="4">
        <v>119.71299743652344</v>
      </c>
      <c r="C220" s="2" t="s">
        <v>213</v>
      </c>
      <c r="D220">
        <f t="shared" si="6"/>
        <v>68.12</v>
      </c>
      <c r="E220" s="8">
        <f t="shared" si="7"/>
        <v>4.2212708557944874</v>
      </c>
      <c r="F220" s="2">
        <v>2727.153606808994</v>
      </c>
      <c r="G220" s="6">
        <v>33.86</v>
      </c>
      <c r="H220">
        <v>1</v>
      </c>
      <c r="I220">
        <v>1</v>
      </c>
    </row>
    <row r="221" spans="1:9" x14ac:dyDescent="0.2">
      <c r="A221" s="1">
        <v>45901</v>
      </c>
      <c r="B221" s="4">
        <v>113.94840240478516</v>
      </c>
      <c r="C221" s="2" t="s">
        <v>3</v>
      </c>
      <c r="D221">
        <f t="shared" si="6"/>
        <v>67.02</v>
      </c>
      <c r="E221" s="8">
        <f t="shared" si="7"/>
        <v>4.2049910823091645</v>
      </c>
      <c r="F221" s="2">
        <v>3767.431290357119</v>
      </c>
      <c r="G221" s="6">
        <v>33.54</v>
      </c>
      <c r="H221">
        <v>1</v>
      </c>
      <c r="I221">
        <v>1</v>
      </c>
    </row>
    <row r="222" spans="1:9" x14ac:dyDescent="0.2">
      <c r="A222" s="1">
        <v>45931</v>
      </c>
      <c r="B222" s="4">
        <v>132.3565673828125</v>
      </c>
      <c r="C222" s="2" t="s">
        <v>214</v>
      </c>
      <c r="D222">
        <f t="shared" si="6"/>
        <v>64.77</v>
      </c>
      <c r="E222" s="8">
        <f t="shared" si="7"/>
        <v>4.1708425331948256</v>
      </c>
      <c r="F222" s="2">
        <v>2558.2798789458202</v>
      </c>
      <c r="G222" s="6">
        <v>36.369999999999997</v>
      </c>
      <c r="H222">
        <v>1</v>
      </c>
      <c r="I222">
        <v>1</v>
      </c>
    </row>
    <row r="223" spans="1:9" x14ac:dyDescent="0.2">
      <c r="A223" s="1">
        <v>45962</v>
      </c>
      <c r="B223" s="4">
        <v>90.522109985351562</v>
      </c>
      <c r="C223" s="2" t="s">
        <v>215</v>
      </c>
      <c r="D223">
        <f t="shared" si="6"/>
        <v>62.38</v>
      </c>
      <c r="E223" s="8">
        <f t="shared" si="7"/>
        <v>4.1332447111796569</v>
      </c>
      <c r="F223" s="2">
        <v>3178.6687399548509</v>
      </c>
      <c r="G223" s="6">
        <v>34.21</v>
      </c>
      <c r="H223">
        <v>1</v>
      </c>
      <c r="I223">
        <v>1</v>
      </c>
    </row>
    <row r="224" spans="1:9" x14ac:dyDescent="0.2">
      <c r="A224" s="1">
        <v>45992</v>
      </c>
      <c r="B224" s="4">
        <v>112.32606506347656</v>
      </c>
      <c r="C224" s="2" t="s">
        <v>150</v>
      </c>
      <c r="D224">
        <f t="shared" si="6"/>
        <v>60.49</v>
      </c>
      <c r="E224" s="8">
        <f t="shared" si="7"/>
        <v>4.1024780621188226</v>
      </c>
      <c r="F224" s="2">
        <v>3115.98062860966</v>
      </c>
      <c r="G224" s="6">
        <v>32.880000000000003</v>
      </c>
      <c r="H224">
        <v>1</v>
      </c>
      <c r="I224">
        <v>1</v>
      </c>
    </row>
    <row r="225" spans="1:9" x14ac:dyDescent="0.2">
      <c r="A225" s="1">
        <v>46023</v>
      </c>
      <c r="B225" s="4">
        <v>128.0704345703125</v>
      </c>
      <c r="C225" s="2" t="s">
        <v>216</v>
      </c>
      <c r="D225">
        <f t="shared" si="6"/>
        <v>70.69</v>
      </c>
      <c r="E225" s="8">
        <f t="shared" si="7"/>
        <v>4.2583041201828626</v>
      </c>
      <c r="F225" s="2">
        <v>2244.096086150249</v>
      </c>
      <c r="G225" s="6">
        <v>42.09</v>
      </c>
      <c r="H225">
        <v>1</v>
      </c>
      <c r="I225">
        <v>1</v>
      </c>
    </row>
    <row r="226" spans="1:9" x14ac:dyDescent="0.2">
      <c r="A226" s="1">
        <v>46054</v>
      </c>
      <c r="B226" s="4">
        <v>108.26046752929688</v>
      </c>
      <c r="C226" s="2" t="s">
        <v>217</v>
      </c>
      <c r="D226">
        <f t="shared" si="6"/>
        <v>72.48</v>
      </c>
      <c r="E226" s="8">
        <f t="shared" si="7"/>
        <v>4.2833106617347241</v>
      </c>
      <c r="F226" s="2">
        <v>3051.5995866672661</v>
      </c>
      <c r="G226" s="6">
        <v>52.62</v>
      </c>
      <c r="H226">
        <v>1</v>
      </c>
      <c r="I226">
        <v>1</v>
      </c>
    </row>
    <row r="227" spans="1:9" x14ac:dyDescent="0.2">
      <c r="A227" s="1">
        <v>46082</v>
      </c>
      <c r="B227" s="4">
        <v>251.24630737304688</v>
      </c>
      <c r="C227" s="2" t="s">
        <v>218</v>
      </c>
      <c r="D227">
        <f t="shared" si="6"/>
        <v>118.35</v>
      </c>
      <c r="E227" s="8">
        <f t="shared" si="7"/>
        <v>4.7736463359599925</v>
      </c>
      <c r="F227" s="2">
        <v>2185.5883631067231</v>
      </c>
      <c r="G227" s="6">
        <v>95.35</v>
      </c>
      <c r="H227">
        <v>1</v>
      </c>
      <c r="I227">
        <v>1</v>
      </c>
    </row>
    <row r="228" spans="1:9" x14ac:dyDescent="0.2">
      <c r="A228" s="1"/>
      <c r="B228" s="4"/>
      <c r="G228" s="6"/>
    </row>
  </sheetData>
  <conditionalFormatting sqref="F2:F145">
    <cfRule type="containsErrors" dxfId="1" priority="1">
      <formula>ISERROR(F2)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5CB8-8537-9148-914E-154E3D6E09A8}">
  <dimension ref="A1:E228"/>
  <sheetViews>
    <sheetView tabSelected="1" workbookViewId="0">
      <selection activeCell="E1" sqref="E1:E228"/>
    </sheetView>
  </sheetViews>
  <sheetFormatPr baseColWidth="10" defaultRowHeight="16" x14ac:dyDescent="0.2"/>
  <cols>
    <col min="3" max="3" width="20.83203125" style="2" bestFit="1" customWidth="1"/>
    <col min="4" max="4" width="10.83203125" style="7"/>
    <col min="5" max="5" width="10.83203125" style="9"/>
  </cols>
  <sheetData>
    <row r="1" spans="1:5" x14ac:dyDescent="0.2">
      <c r="A1" t="s">
        <v>1</v>
      </c>
      <c r="B1" t="s">
        <v>0</v>
      </c>
      <c r="C1" s="5" t="s">
        <v>220</v>
      </c>
      <c r="D1" s="3" t="s">
        <v>221</v>
      </c>
      <c r="E1" s="8" t="s">
        <v>225</v>
      </c>
    </row>
    <row r="2" spans="1:5" x14ac:dyDescent="0.2">
      <c r="A2" s="1">
        <v>39234</v>
      </c>
      <c r="B2" s="4">
        <v>92.157554626464844</v>
      </c>
      <c r="C2" s="2">
        <v>22.405908850350372</v>
      </c>
      <c r="D2" s="6">
        <v>27</v>
      </c>
      <c r="E2" s="8" t="s">
        <v>226</v>
      </c>
    </row>
    <row r="3" spans="1:5" x14ac:dyDescent="0.2">
      <c r="A3" s="1">
        <v>39264</v>
      </c>
      <c r="B3" s="4">
        <v>96.172065734863281</v>
      </c>
      <c r="C3" s="2">
        <v>22.251537431105831</v>
      </c>
      <c r="D3" s="6">
        <v>27.72</v>
      </c>
      <c r="E3" s="8" t="s">
        <v>227</v>
      </c>
    </row>
    <row r="4" spans="1:5" x14ac:dyDescent="0.2">
      <c r="A4" s="1">
        <v>39295</v>
      </c>
      <c r="B4" s="4">
        <v>70.597633361816406</v>
      </c>
      <c r="C4" s="2">
        <v>49.82382816529703</v>
      </c>
      <c r="D4" s="6">
        <v>30.72</v>
      </c>
      <c r="E4" s="8" t="s">
        <v>228</v>
      </c>
    </row>
    <row r="5" spans="1:5" x14ac:dyDescent="0.2">
      <c r="A5" s="1">
        <v>39326</v>
      </c>
      <c r="B5" s="4">
        <v>88.085433959960938</v>
      </c>
      <c r="C5" s="2">
        <v>30.143416040004698</v>
      </c>
      <c r="D5" s="6">
        <v>29.85</v>
      </c>
      <c r="E5" s="8" t="s">
        <v>229</v>
      </c>
    </row>
    <row r="6" spans="1:5" x14ac:dyDescent="0.2">
      <c r="A6" s="1">
        <v>39356</v>
      </c>
      <c r="B6" s="4">
        <v>94.438011169433594</v>
      </c>
      <c r="C6" s="2">
        <v>46.929054755422477</v>
      </c>
      <c r="D6" s="6">
        <v>31.3</v>
      </c>
      <c r="E6" s="8" t="s">
        <v>230</v>
      </c>
    </row>
    <row r="7" spans="1:5" x14ac:dyDescent="0.2">
      <c r="A7" s="1">
        <v>39387</v>
      </c>
      <c r="B7" s="4">
        <v>76.524871826171875</v>
      </c>
      <c r="C7" s="2">
        <v>31.168513828129861</v>
      </c>
      <c r="D7" s="6">
        <v>36.979999999999997</v>
      </c>
      <c r="E7" s="8" t="s">
        <v>231</v>
      </c>
    </row>
    <row r="8" spans="1:5" x14ac:dyDescent="0.2">
      <c r="A8" s="1">
        <v>39417</v>
      </c>
      <c r="B8" s="4">
        <v>80.957160949707031</v>
      </c>
      <c r="C8" s="2">
        <v>35.255457356730638</v>
      </c>
      <c r="D8" s="6">
        <v>33.32</v>
      </c>
      <c r="E8" s="8" t="s">
        <v>232</v>
      </c>
    </row>
    <row r="9" spans="1:5" x14ac:dyDescent="0.2">
      <c r="A9" s="1">
        <v>39448</v>
      </c>
      <c r="B9" s="4">
        <v>80.718040466308594</v>
      </c>
      <c r="C9" s="2">
        <v>87.342782326159181</v>
      </c>
      <c r="D9" s="6">
        <v>33.43</v>
      </c>
      <c r="E9" s="8" t="s">
        <v>233</v>
      </c>
    </row>
    <row r="10" spans="1:5" x14ac:dyDescent="0.2">
      <c r="A10" s="1">
        <v>39479</v>
      </c>
      <c r="B10" s="4">
        <v>79.338447570800781</v>
      </c>
      <c r="C10" s="2">
        <v>81.895839574845937</v>
      </c>
      <c r="D10" s="6">
        <v>32.67</v>
      </c>
      <c r="E10" s="8" t="s">
        <v>234</v>
      </c>
    </row>
    <row r="11" spans="1:5" x14ac:dyDescent="0.2">
      <c r="A11" s="1">
        <v>39508</v>
      </c>
      <c r="B11" s="4">
        <v>67.831809997558594</v>
      </c>
      <c r="C11" s="2">
        <v>72.408561661932993</v>
      </c>
      <c r="D11" s="6">
        <v>40.31</v>
      </c>
      <c r="E11" s="8" t="s">
        <v>235</v>
      </c>
    </row>
    <row r="12" spans="1:5" x14ac:dyDescent="0.2">
      <c r="A12" s="1">
        <v>39539</v>
      </c>
      <c r="B12" s="4">
        <v>68.298210144042969</v>
      </c>
      <c r="C12" s="2">
        <v>93.699772082025206</v>
      </c>
      <c r="D12" s="6">
        <v>39.68</v>
      </c>
      <c r="E12" s="8" t="s">
        <v>236</v>
      </c>
    </row>
    <row r="13" spans="1:5" x14ac:dyDescent="0.2">
      <c r="A13" s="1">
        <v>39569</v>
      </c>
      <c r="B13" s="4">
        <v>65.236572265625</v>
      </c>
      <c r="C13" s="2">
        <v>41.391351580651623</v>
      </c>
      <c r="D13" s="6">
        <v>38.97</v>
      </c>
      <c r="E13" s="8" t="s">
        <v>237</v>
      </c>
    </row>
    <row r="14" spans="1:5" x14ac:dyDescent="0.2">
      <c r="A14" s="1">
        <v>39600</v>
      </c>
      <c r="B14" s="4">
        <v>70.527206420898438</v>
      </c>
      <c r="C14" s="2">
        <v>43.103073460445231</v>
      </c>
      <c r="D14" s="6">
        <v>45.99</v>
      </c>
      <c r="E14" s="8" t="s">
        <v>238</v>
      </c>
    </row>
    <row r="15" spans="1:5" x14ac:dyDescent="0.2">
      <c r="A15" s="1">
        <v>39630</v>
      </c>
      <c r="B15" s="4">
        <v>79.431724548339844</v>
      </c>
      <c r="C15" s="2">
        <v>28.957535994515041</v>
      </c>
      <c r="D15" s="6">
        <v>48.93</v>
      </c>
      <c r="E15" s="8" t="s">
        <v>239</v>
      </c>
    </row>
    <row r="16" spans="1:5" x14ac:dyDescent="0.2">
      <c r="A16" s="1">
        <v>39661</v>
      </c>
      <c r="B16" s="4">
        <v>74.765617370605469</v>
      </c>
      <c r="C16" s="2">
        <v>40.370646482149162</v>
      </c>
      <c r="D16" s="6">
        <v>46.71</v>
      </c>
      <c r="E16" s="8" t="s">
        <v>240</v>
      </c>
    </row>
    <row r="17" spans="1:5" x14ac:dyDescent="0.2">
      <c r="A17" s="1">
        <v>39692</v>
      </c>
      <c r="B17" s="4">
        <v>77.945823669433594</v>
      </c>
      <c r="C17" s="2">
        <v>30.550759500004769</v>
      </c>
      <c r="D17" s="6">
        <v>50.59</v>
      </c>
      <c r="E17" s="8" t="s">
        <v>241</v>
      </c>
    </row>
    <row r="18" spans="1:5" x14ac:dyDescent="0.2">
      <c r="A18" s="1">
        <v>39722</v>
      </c>
      <c r="B18" s="4">
        <v>52.132774353027344</v>
      </c>
      <c r="C18" s="2">
        <v>63.263959590133332</v>
      </c>
      <c r="D18" s="6">
        <v>72.19</v>
      </c>
      <c r="E18" s="8" t="s">
        <v>242</v>
      </c>
    </row>
    <row r="19" spans="1:5" x14ac:dyDescent="0.2">
      <c r="A19" s="1">
        <v>39753</v>
      </c>
      <c r="B19" s="4">
        <v>63.414886474609375</v>
      </c>
      <c r="C19" s="2">
        <v>86.634817998188709</v>
      </c>
      <c r="D19" s="6">
        <v>80.89</v>
      </c>
      <c r="E19" s="8" t="s">
        <v>243</v>
      </c>
    </row>
    <row r="20" spans="1:5" x14ac:dyDescent="0.2">
      <c r="A20" s="1">
        <v>39783</v>
      </c>
      <c r="B20" s="4">
        <v>74.673095703125</v>
      </c>
      <c r="C20" s="2">
        <v>35.952156642662302</v>
      </c>
      <c r="D20" s="6">
        <v>91.92</v>
      </c>
      <c r="E20" s="8" t="s">
        <v>244</v>
      </c>
    </row>
    <row r="21" spans="1:5" x14ac:dyDescent="0.2">
      <c r="A21" s="1">
        <v>39814</v>
      </c>
      <c r="B21" s="4">
        <v>61.334930419921875</v>
      </c>
      <c r="C21" s="2">
        <v>45.713820281257142</v>
      </c>
      <c r="D21" s="6">
        <v>80.900000000000006</v>
      </c>
      <c r="E21" s="8" t="s">
        <v>245</v>
      </c>
    </row>
    <row r="22" spans="1:5" x14ac:dyDescent="0.2">
      <c r="A22" s="1">
        <v>39845</v>
      </c>
      <c r="B22" s="4">
        <v>63.048900604248047</v>
      </c>
      <c r="C22" s="2">
        <v>44.198557243408651</v>
      </c>
      <c r="D22" s="6">
        <v>71.709999999999994</v>
      </c>
      <c r="E22" s="8" t="s">
        <v>246</v>
      </c>
    </row>
    <row r="23" spans="1:5" x14ac:dyDescent="0.2">
      <c r="A23" s="1">
        <v>39873</v>
      </c>
      <c r="B23" s="4">
        <v>56.752571105957031</v>
      </c>
      <c r="C23" s="2">
        <v>59.439646316419058</v>
      </c>
      <c r="D23" s="6">
        <v>68.83</v>
      </c>
      <c r="E23" s="8" t="s">
        <v>247</v>
      </c>
    </row>
    <row r="24" spans="1:5" x14ac:dyDescent="0.2">
      <c r="A24" s="1">
        <v>39904</v>
      </c>
      <c r="B24" s="4">
        <v>69.484733581542969</v>
      </c>
      <c r="C24" s="2">
        <v>14.439136333031451</v>
      </c>
      <c r="D24" s="6">
        <v>57.84</v>
      </c>
      <c r="E24" s="8" t="s">
        <v>248</v>
      </c>
    </row>
    <row r="25" spans="1:5" x14ac:dyDescent="0.2">
      <c r="A25" s="1">
        <v>39934</v>
      </c>
      <c r="B25" s="4">
        <v>77.430244445800781</v>
      </c>
      <c r="C25" s="2">
        <v>18.718312628337781</v>
      </c>
      <c r="D25" s="6">
        <v>44.36</v>
      </c>
      <c r="E25" s="8" t="s">
        <v>249</v>
      </c>
    </row>
    <row r="26" spans="1:5" x14ac:dyDescent="0.2">
      <c r="A26" s="1">
        <v>39965</v>
      </c>
      <c r="B26" s="4">
        <v>71.356887817382812</v>
      </c>
      <c r="C26" s="2">
        <v>42.783234917337353</v>
      </c>
      <c r="D26" s="6">
        <v>45.03</v>
      </c>
      <c r="E26" s="8" t="s">
        <v>250</v>
      </c>
    </row>
    <row r="27" spans="1:5" x14ac:dyDescent="0.2">
      <c r="A27" s="1">
        <v>39995</v>
      </c>
      <c r="B27" s="4">
        <v>69.431495666503906</v>
      </c>
      <c r="C27" s="2">
        <v>19.639773964288771</v>
      </c>
      <c r="D27" s="6">
        <v>46.24</v>
      </c>
      <c r="E27" s="8" t="s">
        <v>251</v>
      </c>
    </row>
    <row r="28" spans="1:5" x14ac:dyDescent="0.2">
      <c r="A28" s="1">
        <v>40026</v>
      </c>
      <c r="B28" s="4">
        <v>59.946456909179688</v>
      </c>
      <c r="C28" s="2">
        <v>26.62323300883634</v>
      </c>
      <c r="D28" s="6">
        <v>45.73</v>
      </c>
      <c r="E28" s="8" t="s">
        <v>252</v>
      </c>
    </row>
    <row r="29" spans="1:5" x14ac:dyDescent="0.2">
      <c r="A29" s="1">
        <v>40057</v>
      </c>
      <c r="B29" s="4">
        <v>74.600502014160156</v>
      </c>
      <c r="C29" s="2">
        <v>10.56428132243156</v>
      </c>
      <c r="D29" s="6">
        <v>43.98</v>
      </c>
      <c r="E29" s="8" t="s">
        <v>253</v>
      </c>
    </row>
    <row r="30" spans="1:5" x14ac:dyDescent="0.2">
      <c r="A30" s="1">
        <v>40087</v>
      </c>
      <c r="B30" s="4">
        <v>81.039466857910156</v>
      </c>
      <c r="C30" s="2">
        <v>13.89402407462903</v>
      </c>
      <c r="D30" s="6">
        <v>41.68</v>
      </c>
      <c r="E30" s="8" t="s">
        <v>254</v>
      </c>
    </row>
    <row r="31" spans="1:5" x14ac:dyDescent="0.2">
      <c r="A31" s="1">
        <v>40118</v>
      </c>
      <c r="B31" s="4">
        <v>66.157524108886719</v>
      </c>
      <c r="C31" s="2">
        <v>25.44941316698333</v>
      </c>
      <c r="D31" s="6">
        <v>38.6</v>
      </c>
      <c r="E31" s="8" t="s">
        <v>255</v>
      </c>
    </row>
    <row r="32" spans="1:5" x14ac:dyDescent="0.2">
      <c r="A32" s="1">
        <v>40148</v>
      </c>
      <c r="B32" s="4">
        <v>84.395980834960938</v>
      </c>
      <c r="C32" s="2">
        <v>23.41649551130309</v>
      </c>
      <c r="D32" s="6">
        <v>39.590000000000003</v>
      </c>
      <c r="E32" s="8" t="s">
        <v>256</v>
      </c>
    </row>
    <row r="33" spans="1:5" x14ac:dyDescent="0.2">
      <c r="A33" s="1">
        <v>40179</v>
      </c>
      <c r="B33" s="4">
        <v>78.124427795410156</v>
      </c>
      <c r="C33" s="2">
        <v>88.8947926112739</v>
      </c>
      <c r="D33" s="6">
        <v>32.619999999999997</v>
      </c>
      <c r="E33" s="8" t="s">
        <v>257</v>
      </c>
    </row>
    <row r="34" spans="1:5" x14ac:dyDescent="0.2">
      <c r="A34" s="1">
        <v>40210</v>
      </c>
      <c r="B34" s="4">
        <v>71.459846496582031</v>
      </c>
      <c r="C34" s="2">
        <v>25.569344426017182</v>
      </c>
      <c r="D34" s="6">
        <v>35.49</v>
      </c>
      <c r="E34" s="8" t="s">
        <v>258</v>
      </c>
    </row>
    <row r="35" spans="1:5" x14ac:dyDescent="0.2">
      <c r="A35" s="1">
        <v>40238</v>
      </c>
      <c r="B35" s="4">
        <v>58.709568023681641</v>
      </c>
      <c r="C35" s="2">
        <v>49.982705168375148</v>
      </c>
      <c r="D35" s="6">
        <v>31.95</v>
      </c>
      <c r="E35" s="8" t="s">
        <v>259</v>
      </c>
    </row>
    <row r="36" spans="1:5" x14ac:dyDescent="0.2">
      <c r="A36" s="1">
        <v>40269</v>
      </c>
      <c r="B36" s="4">
        <v>72.484306335449219</v>
      </c>
      <c r="C36" s="2">
        <v>17.375581406492891</v>
      </c>
      <c r="D36" s="6">
        <v>28.38</v>
      </c>
      <c r="E36" s="8" t="s">
        <v>260</v>
      </c>
    </row>
    <row r="37" spans="1:5" x14ac:dyDescent="0.2">
      <c r="A37" s="1">
        <v>40299</v>
      </c>
      <c r="B37" s="4">
        <v>85.672050476074219</v>
      </c>
      <c r="C37" s="2">
        <v>57.623352667808483</v>
      </c>
      <c r="D37" s="6">
        <v>40.4</v>
      </c>
      <c r="E37" s="8" t="s">
        <v>261</v>
      </c>
    </row>
    <row r="38" spans="1:5" x14ac:dyDescent="0.2">
      <c r="A38" s="1">
        <v>40330</v>
      </c>
      <c r="B38" s="4">
        <v>95.871017456054688</v>
      </c>
      <c r="C38" s="2">
        <v>47.270356971825557</v>
      </c>
      <c r="D38" s="6">
        <v>39.630000000000003</v>
      </c>
      <c r="E38" s="8" t="s">
        <v>262</v>
      </c>
    </row>
    <row r="39" spans="1:5" x14ac:dyDescent="0.2">
      <c r="A39" s="1">
        <v>40360</v>
      </c>
      <c r="B39" s="4">
        <v>66.178207397460938</v>
      </c>
      <c r="C39" s="2">
        <v>53.776313106573561</v>
      </c>
      <c r="D39" s="6">
        <v>34.5</v>
      </c>
      <c r="E39" s="8" t="s">
        <v>263</v>
      </c>
    </row>
    <row r="40" spans="1:5" x14ac:dyDescent="0.2">
      <c r="A40" s="1">
        <v>40391</v>
      </c>
      <c r="B40" s="4">
        <v>74.393302917480469</v>
      </c>
      <c r="C40" s="2">
        <v>72.221640560514658</v>
      </c>
      <c r="D40" s="6">
        <v>33.18</v>
      </c>
      <c r="E40" s="8" t="s">
        <v>264</v>
      </c>
    </row>
    <row r="41" spans="1:5" x14ac:dyDescent="0.2">
      <c r="A41" s="1">
        <v>40422</v>
      </c>
      <c r="B41" s="4">
        <v>63.366771697998047</v>
      </c>
      <c r="C41" s="2">
        <v>60.649333845522882</v>
      </c>
      <c r="D41" s="6">
        <v>31.71</v>
      </c>
      <c r="E41" s="8" t="s">
        <v>265</v>
      </c>
    </row>
    <row r="42" spans="1:5" x14ac:dyDescent="0.2">
      <c r="A42" s="1">
        <v>40452</v>
      </c>
      <c r="B42" s="4">
        <v>57.812389373779297</v>
      </c>
      <c r="C42" s="2">
        <v>119.903237455964</v>
      </c>
      <c r="D42" s="6">
        <v>32.380000000000003</v>
      </c>
      <c r="E42" s="8" t="s">
        <v>266</v>
      </c>
    </row>
    <row r="43" spans="1:5" x14ac:dyDescent="0.2">
      <c r="A43" s="1">
        <v>40483</v>
      </c>
      <c r="B43" s="4">
        <v>82.315597534179688</v>
      </c>
      <c r="C43" s="2">
        <v>69.206822540827119</v>
      </c>
      <c r="D43" s="6">
        <v>31.25</v>
      </c>
      <c r="E43" s="8" t="s">
        <v>267</v>
      </c>
    </row>
    <row r="44" spans="1:5" x14ac:dyDescent="0.2">
      <c r="A44" s="1">
        <v>40513</v>
      </c>
      <c r="B44" s="4">
        <v>79.67950439453125</v>
      </c>
      <c r="C44" s="2">
        <v>77.95711044828802</v>
      </c>
      <c r="D44" s="6">
        <v>28.9</v>
      </c>
      <c r="E44" s="8" t="s">
        <v>268</v>
      </c>
    </row>
    <row r="45" spans="1:5" x14ac:dyDescent="0.2">
      <c r="A45" s="1">
        <v>40544</v>
      </c>
      <c r="B45" s="4">
        <v>67.254623413085938</v>
      </c>
      <c r="C45" s="2">
        <v>86.634817998188709</v>
      </c>
      <c r="D45" s="6">
        <v>28.88</v>
      </c>
      <c r="E45" s="8" t="s">
        <v>269</v>
      </c>
    </row>
    <row r="46" spans="1:5" x14ac:dyDescent="0.2">
      <c r="A46" s="1">
        <v>40575</v>
      </c>
      <c r="B46" s="4">
        <v>70.897575378417969</v>
      </c>
      <c r="C46" s="2">
        <v>31.931584788140569</v>
      </c>
      <c r="D46" s="6">
        <v>33.71</v>
      </c>
      <c r="E46" s="8" t="s">
        <v>270</v>
      </c>
    </row>
    <row r="47" spans="1:5" x14ac:dyDescent="0.2">
      <c r="A47" s="1">
        <v>40603</v>
      </c>
      <c r="B47" s="4">
        <v>101.09650421142578</v>
      </c>
      <c r="C47" s="2">
        <v>64.001424564539533</v>
      </c>
      <c r="D47" s="6">
        <v>39.85</v>
      </c>
      <c r="E47" s="8" t="s">
        <v>271</v>
      </c>
    </row>
    <row r="48" spans="1:5" x14ac:dyDescent="0.2">
      <c r="A48" s="1">
        <v>40634</v>
      </c>
      <c r="B48" s="4">
        <v>76.116172790527344</v>
      </c>
      <c r="C48" s="2">
        <v>27.715049774084878</v>
      </c>
      <c r="D48" s="6">
        <v>31.96</v>
      </c>
      <c r="E48" s="8" t="s">
        <v>272</v>
      </c>
    </row>
    <row r="49" spans="1:5" x14ac:dyDescent="0.2">
      <c r="A49" s="1">
        <v>40664</v>
      </c>
      <c r="B49" s="4">
        <v>90.701347351074219</v>
      </c>
      <c r="C49" s="2">
        <v>27.715049774084878</v>
      </c>
      <c r="D49" s="6">
        <v>37.659999999999997</v>
      </c>
      <c r="E49" s="8" t="s">
        <v>273</v>
      </c>
    </row>
    <row r="50" spans="1:5" x14ac:dyDescent="0.2">
      <c r="A50" s="1">
        <v>40695</v>
      </c>
      <c r="B50" s="4">
        <v>77.343254089355469</v>
      </c>
      <c r="C50" s="2">
        <v>118.54931331280601</v>
      </c>
      <c r="D50" s="6">
        <v>34</v>
      </c>
      <c r="E50" s="8" t="s">
        <v>274</v>
      </c>
    </row>
    <row r="51" spans="1:5" x14ac:dyDescent="0.2">
      <c r="A51" s="1">
        <v>40725</v>
      </c>
      <c r="B51" s="4">
        <v>68.413749694824219</v>
      </c>
      <c r="C51" s="2">
        <v>74.266387344939119</v>
      </c>
      <c r="D51" s="6">
        <v>31.96</v>
      </c>
      <c r="E51" s="8" t="s">
        <v>275</v>
      </c>
    </row>
    <row r="52" spans="1:5" x14ac:dyDescent="0.2">
      <c r="A52" s="1">
        <v>40756</v>
      </c>
      <c r="B52" s="4">
        <v>71.489616394042969</v>
      </c>
      <c r="C52" s="2">
        <v>66.370824308267231</v>
      </c>
      <c r="D52" s="6">
        <v>47.47</v>
      </c>
      <c r="E52" s="8" t="s">
        <v>276</v>
      </c>
    </row>
    <row r="53" spans="1:5" x14ac:dyDescent="0.2">
      <c r="A53" s="1">
        <v>40787</v>
      </c>
      <c r="B53" s="4">
        <v>72.504035949707031</v>
      </c>
      <c r="C53" s="2">
        <v>178.5875636122361</v>
      </c>
      <c r="D53" s="6">
        <v>48.09</v>
      </c>
      <c r="E53" s="8" t="s">
        <v>277</v>
      </c>
    </row>
    <row r="54" spans="1:5" x14ac:dyDescent="0.2">
      <c r="A54" s="1">
        <v>40817</v>
      </c>
      <c r="B54" s="4">
        <v>66.210067749023438</v>
      </c>
      <c r="C54" s="2">
        <v>113.82279494272611</v>
      </c>
      <c r="D54" s="6">
        <v>48.52</v>
      </c>
      <c r="E54" s="8" t="s">
        <v>278</v>
      </c>
    </row>
    <row r="55" spans="1:5" x14ac:dyDescent="0.2">
      <c r="A55" s="1">
        <v>40848</v>
      </c>
      <c r="B55" s="4">
        <v>70.880195617675781</v>
      </c>
      <c r="C55" s="2">
        <v>43.317408999094347</v>
      </c>
      <c r="D55" s="6">
        <v>45.59</v>
      </c>
      <c r="E55" s="8" t="s">
        <v>279</v>
      </c>
    </row>
    <row r="56" spans="1:5" x14ac:dyDescent="0.2">
      <c r="A56" s="1">
        <v>40878</v>
      </c>
      <c r="B56" s="4">
        <v>75.746604919433594</v>
      </c>
      <c r="C56" s="2">
        <v>52.831693156775522</v>
      </c>
      <c r="D56" s="6">
        <v>39.4</v>
      </c>
      <c r="E56" s="8" t="s">
        <v>280</v>
      </c>
    </row>
    <row r="57" spans="1:5" x14ac:dyDescent="0.2">
      <c r="A57" s="1">
        <v>40909</v>
      </c>
      <c r="B57" s="4">
        <v>68.267868041992188</v>
      </c>
      <c r="C57" s="2">
        <v>102.9607960668765</v>
      </c>
      <c r="D57" s="6">
        <v>34.700000000000003</v>
      </c>
      <c r="E57" s="8" t="s">
        <v>281</v>
      </c>
    </row>
    <row r="58" spans="1:5" x14ac:dyDescent="0.2">
      <c r="A58" s="1">
        <v>40940</v>
      </c>
      <c r="B58" s="4">
        <v>76.550041198730469</v>
      </c>
      <c r="C58" s="2">
        <v>25.403260083849581</v>
      </c>
      <c r="D58" s="6">
        <v>33.01</v>
      </c>
      <c r="E58" s="8" t="s">
        <v>282</v>
      </c>
    </row>
    <row r="59" spans="1:5" x14ac:dyDescent="0.2">
      <c r="A59" s="1">
        <v>40969</v>
      </c>
      <c r="B59" s="4">
        <v>74.996238708496094</v>
      </c>
      <c r="C59" s="2">
        <v>27.313968995357421</v>
      </c>
      <c r="D59" s="6">
        <v>29.81</v>
      </c>
      <c r="E59" s="8" t="s">
        <v>283</v>
      </c>
    </row>
    <row r="60" spans="1:5" x14ac:dyDescent="0.2">
      <c r="A60" s="1">
        <v>41000</v>
      </c>
      <c r="B60" s="4">
        <v>78.8109130859375</v>
      </c>
      <c r="C60" s="2">
        <v>46.408485105579082</v>
      </c>
      <c r="D60" s="6">
        <v>27.97</v>
      </c>
      <c r="E60" s="8" t="s">
        <v>284</v>
      </c>
    </row>
    <row r="61" spans="1:5" x14ac:dyDescent="0.2">
      <c r="A61" s="1">
        <v>41030</v>
      </c>
      <c r="B61" s="4">
        <v>70.232490539550781</v>
      </c>
      <c r="C61" s="2">
        <v>18.78744767036304</v>
      </c>
      <c r="D61" s="6">
        <v>30.11</v>
      </c>
      <c r="E61" s="8" t="s">
        <v>285</v>
      </c>
    </row>
    <row r="62" spans="1:5" x14ac:dyDescent="0.2">
      <c r="A62" s="1">
        <v>41061</v>
      </c>
      <c r="B62" s="4">
        <v>61.874813079833984</v>
      </c>
      <c r="C62" s="2">
        <v>34.211480362223071</v>
      </c>
      <c r="D62" s="6">
        <v>36.65</v>
      </c>
      <c r="E62" s="8" t="s">
        <v>286</v>
      </c>
    </row>
    <row r="63" spans="1:5" x14ac:dyDescent="0.2">
      <c r="A63" s="1">
        <v>41091</v>
      </c>
      <c r="B63" s="4">
        <v>67.4638671875</v>
      </c>
      <c r="C63" s="2">
        <v>50.939261490537859</v>
      </c>
      <c r="D63" s="6">
        <v>35.58</v>
      </c>
      <c r="E63" s="8" t="s">
        <v>287</v>
      </c>
    </row>
    <row r="64" spans="1:5" x14ac:dyDescent="0.2">
      <c r="A64" s="1">
        <v>41122</v>
      </c>
      <c r="B64" s="4">
        <v>68.635986328125</v>
      </c>
      <c r="C64" s="2">
        <v>43.686110202905361</v>
      </c>
      <c r="D64" s="6">
        <v>31.72</v>
      </c>
      <c r="E64" s="8" t="s">
        <v>240</v>
      </c>
    </row>
    <row r="65" spans="1:5" x14ac:dyDescent="0.2">
      <c r="A65" s="1">
        <v>41153</v>
      </c>
      <c r="B65" s="4">
        <v>61.441925048828125</v>
      </c>
      <c r="C65" s="2">
        <v>59.662305424458609</v>
      </c>
      <c r="D65" s="6">
        <v>33.869999999999997</v>
      </c>
      <c r="E65" s="8" t="s">
        <v>288</v>
      </c>
    </row>
    <row r="66" spans="1:5" x14ac:dyDescent="0.2">
      <c r="A66" s="1">
        <v>41183</v>
      </c>
      <c r="B66" s="4">
        <v>69.4249267578125</v>
      </c>
      <c r="C66" s="2">
        <v>82.021743515851313</v>
      </c>
      <c r="D66" s="6">
        <v>33.270000000000003</v>
      </c>
      <c r="E66" s="8" t="s">
        <v>289</v>
      </c>
    </row>
    <row r="67" spans="1:5" x14ac:dyDescent="0.2">
      <c r="A67" s="1">
        <v>41214</v>
      </c>
      <c r="B67" s="4">
        <v>67.280075073242188</v>
      </c>
      <c r="C67" s="2">
        <v>11.236362837973919</v>
      </c>
      <c r="D67" s="6">
        <v>30.65</v>
      </c>
      <c r="E67" s="8" t="s">
        <v>290</v>
      </c>
    </row>
    <row r="68" spans="1:5" x14ac:dyDescent="0.2">
      <c r="A68" s="1">
        <v>41244</v>
      </c>
      <c r="B68" s="4">
        <v>65.622200012207031</v>
      </c>
      <c r="C68" s="2">
        <v>34.212079441899377</v>
      </c>
      <c r="D68" s="6">
        <v>28.95</v>
      </c>
      <c r="E68" s="8" t="s">
        <v>291</v>
      </c>
    </row>
    <row r="69" spans="1:5" x14ac:dyDescent="0.2">
      <c r="A69" s="1">
        <v>41275</v>
      </c>
      <c r="B69" s="4">
        <v>70.866600036621094</v>
      </c>
      <c r="C69" s="2">
        <v>20.046114115274062</v>
      </c>
      <c r="D69" s="6">
        <v>24.11</v>
      </c>
      <c r="E69" s="8" t="s">
        <v>292</v>
      </c>
    </row>
    <row r="70" spans="1:5" x14ac:dyDescent="0.2">
      <c r="A70" s="1">
        <v>41306</v>
      </c>
      <c r="B70" s="4">
        <v>72.405815124511719</v>
      </c>
      <c r="C70" s="2">
        <v>35.527041854462531</v>
      </c>
      <c r="D70" s="6">
        <v>23.4</v>
      </c>
      <c r="E70" s="8" t="s">
        <v>293</v>
      </c>
    </row>
    <row r="71" spans="1:5" x14ac:dyDescent="0.2">
      <c r="A71" s="1">
        <v>41334</v>
      </c>
      <c r="B71" s="4">
        <v>55.701545715332031</v>
      </c>
      <c r="C71" s="2">
        <v>28.561545810500078</v>
      </c>
      <c r="D71" s="6">
        <v>20.07</v>
      </c>
      <c r="E71" s="8" t="s">
        <v>294</v>
      </c>
    </row>
    <row r="72" spans="1:5" x14ac:dyDescent="0.2">
      <c r="A72" s="1">
        <v>41365</v>
      </c>
      <c r="B72" s="4">
        <v>76.689697265625</v>
      </c>
      <c r="C72" s="2">
        <v>32.310760296380579</v>
      </c>
      <c r="D72" s="6">
        <v>23.63</v>
      </c>
      <c r="E72" s="8" t="s">
        <v>295</v>
      </c>
    </row>
    <row r="73" spans="1:5" x14ac:dyDescent="0.2">
      <c r="A73" s="1">
        <v>41395</v>
      </c>
      <c r="B73" s="4">
        <v>73.346099853515625</v>
      </c>
      <c r="C73" s="2">
        <v>22.428136934527309</v>
      </c>
      <c r="D73" s="6">
        <v>23.88</v>
      </c>
      <c r="E73" s="8" t="s">
        <v>296</v>
      </c>
    </row>
    <row r="74" spans="1:5" x14ac:dyDescent="0.2">
      <c r="A74" s="1">
        <v>41426</v>
      </c>
      <c r="B74" s="4">
        <v>71.183921813964844</v>
      </c>
      <c r="C74" s="2">
        <v>57.178886153337388</v>
      </c>
      <c r="D74" s="6">
        <v>22.84</v>
      </c>
      <c r="E74" s="8" t="s">
        <v>297</v>
      </c>
    </row>
    <row r="75" spans="1:5" x14ac:dyDescent="0.2">
      <c r="A75" s="1">
        <v>41456</v>
      </c>
      <c r="B75" s="4">
        <v>58.958736419677734</v>
      </c>
      <c r="C75" s="2">
        <v>52.832339873413282</v>
      </c>
      <c r="D75" s="6">
        <v>24.05</v>
      </c>
      <c r="E75" s="8" t="s">
        <v>298</v>
      </c>
    </row>
    <row r="76" spans="1:5" x14ac:dyDescent="0.2">
      <c r="A76" s="1">
        <v>41487</v>
      </c>
      <c r="B76" s="4">
        <v>71.750518798828125</v>
      </c>
      <c r="C76" s="2">
        <v>33.213236401457088</v>
      </c>
      <c r="D76" s="6">
        <v>24</v>
      </c>
      <c r="E76" s="8" t="s">
        <v>299</v>
      </c>
    </row>
    <row r="77" spans="1:5" x14ac:dyDescent="0.2">
      <c r="A77" s="1">
        <v>41518</v>
      </c>
      <c r="B77" s="4">
        <v>85.778831481933594</v>
      </c>
      <c r="C77" s="2">
        <v>84.692455265030105</v>
      </c>
      <c r="D77" s="6">
        <v>24.27</v>
      </c>
      <c r="E77" s="8" t="s">
        <v>300</v>
      </c>
    </row>
    <row r="78" spans="1:5" x14ac:dyDescent="0.2">
      <c r="A78" s="1">
        <v>41548</v>
      </c>
      <c r="B78" s="4">
        <v>64.701835632324219</v>
      </c>
      <c r="C78" s="2">
        <v>15.5914220896576</v>
      </c>
      <c r="D78" s="6">
        <v>21.62</v>
      </c>
      <c r="E78" s="8" t="s">
        <v>301</v>
      </c>
    </row>
    <row r="79" spans="1:5" x14ac:dyDescent="0.2">
      <c r="A79" s="1">
        <v>41579</v>
      </c>
      <c r="B79" s="4">
        <v>68.734123229980469</v>
      </c>
      <c r="C79" s="2">
        <v>26.842532838186841</v>
      </c>
      <c r="D79" s="6">
        <v>19.97</v>
      </c>
      <c r="E79" s="8" t="s">
        <v>302</v>
      </c>
    </row>
    <row r="80" spans="1:5" x14ac:dyDescent="0.2">
      <c r="A80" s="1">
        <v>41609</v>
      </c>
      <c r="B80" s="4">
        <v>70.187110900878906</v>
      </c>
      <c r="C80" s="2">
        <v>17.871691450547399</v>
      </c>
      <c r="D80" s="6">
        <v>17.47</v>
      </c>
      <c r="E80" s="8" t="s">
        <v>303</v>
      </c>
    </row>
    <row r="81" spans="1:5" x14ac:dyDescent="0.2">
      <c r="A81" s="1">
        <v>41640</v>
      </c>
      <c r="B81" s="4">
        <v>71.980216979980469</v>
      </c>
      <c r="C81" s="2">
        <v>42.482418865161698</v>
      </c>
      <c r="D81" s="6">
        <v>19.57</v>
      </c>
      <c r="E81" s="8" t="s">
        <v>304</v>
      </c>
    </row>
    <row r="82" spans="1:5" x14ac:dyDescent="0.2">
      <c r="A82" s="1">
        <v>41671</v>
      </c>
      <c r="B82" s="4">
        <v>63.780696868896484</v>
      </c>
      <c r="C82" s="2">
        <v>185.26766344704299</v>
      </c>
      <c r="D82" s="6">
        <v>19.04</v>
      </c>
      <c r="E82" s="8" t="s">
        <v>305</v>
      </c>
    </row>
    <row r="83" spans="1:5" x14ac:dyDescent="0.2">
      <c r="A83" s="1">
        <v>41699</v>
      </c>
      <c r="B83" s="4">
        <v>92.215080261230469</v>
      </c>
      <c r="C83" s="2">
        <v>167.8730782922803</v>
      </c>
      <c r="D83" s="6">
        <v>20.03</v>
      </c>
      <c r="E83" s="8" t="s">
        <v>306</v>
      </c>
    </row>
    <row r="84" spans="1:5" x14ac:dyDescent="0.2">
      <c r="A84" s="1">
        <v>41730</v>
      </c>
      <c r="B84" s="4">
        <v>75.93310546875</v>
      </c>
      <c r="C84" s="2">
        <v>28.51307035811687</v>
      </c>
      <c r="D84" s="6">
        <v>18.809999999999999</v>
      </c>
      <c r="E84" s="8" t="s">
        <v>307</v>
      </c>
    </row>
    <row r="85" spans="1:5" x14ac:dyDescent="0.2">
      <c r="A85" s="1">
        <v>41760</v>
      </c>
      <c r="B85" s="4">
        <v>73.123130798339844</v>
      </c>
      <c r="C85" s="2">
        <v>18.71843317022573</v>
      </c>
      <c r="D85" s="6">
        <v>16.68</v>
      </c>
      <c r="E85" s="8" t="s">
        <v>308</v>
      </c>
    </row>
    <row r="86" spans="1:5" x14ac:dyDescent="0.2">
      <c r="A86" s="1">
        <v>41791</v>
      </c>
      <c r="B86" s="4">
        <v>82.331840515136719</v>
      </c>
      <c r="C86" s="2">
        <v>15.211177617445861</v>
      </c>
      <c r="D86" s="6">
        <v>16.829999999999998</v>
      </c>
      <c r="E86" s="8" t="s">
        <v>309</v>
      </c>
    </row>
    <row r="87" spans="1:5" x14ac:dyDescent="0.2">
      <c r="A87" s="1">
        <v>41821</v>
      </c>
      <c r="B87" s="4">
        <v>104.56833648681641</v>
      </c>
      <c r="C87" s="2">
        <v>30.181343928875322</v>
      </c>
      <c r="D87" s="6">
        <v>16.87</v>
      </c>
      <c r="E87" s="8" t="s">
        <v>310</v>
      </c>
    </row>
    <row r="88" spans="1:5" x14ac:dyDescent="0.2">
      <c r="A88" s="1">
        <v>41852</v>
      </c>
      <c r="B88" s="4">
        <v>96.063140869140625</v>
      </c>
      <c r="C88" s="2">
        <v>22.49473841975157</v>
      </c>
      <c r="D88" s="6">
        <v>17.93</v>
      </c>
      <c r="E88" s="8" t="s">
        <v>311</v>
      </c>
    </row>
    <row r="89" spans="1:5" x14ac:dyDescent="0.2">
      <c r="A89" s="1">
        <v>41883</v>
      </c>
      <c r="B89" s="4">
        <v>104.1304931640625</v>
      </c>
      <c r="C89" s="2">
        <v>12.23521091643739</v>
      </c>
      <c r="D89" s="6">
        <v>19.63</v>
      </c>
      <c r="E89" s="8" t="s">
        <v>312</v>
      </c>
    </row>
    <row r="90" spans="1:5" x14ac:dyDescent="0.2">
      <c r="A90" s="1">
        <v>41913</v>
      </c>
      <c r="B90" s="4">
        <v>68.813301086425781</v>
      </c>
      <c r="C90" s="2">
        <v>15.87434514750827</v>
      </c>
      <c r="D90" s="6">
        <v>29.37</v>
      </c>
      <c r="E90" s="8" t="s">
        <v>313</v>
      </c>
    </row>
    <row r="91" spans="1:5" x14ac:dyDescent="0.2">
      <c r="A91" s="1">
        <v>41944</v>
      </c>
      <c r="B91" s="4">
        <v>67.821014404296875</v>
      </c>
      <c r="C91" s="2">
        <v>22.607562030003521</v>
      </c>
      <c r="D91" s="6">
        <v>33.159999999999997</v>
      </c>
      <c r="E91" s="8" t="s">
        <v>314</v>
      </c>
    </row>
    <row r="92" spans="1:5" x14ac:dyDescent="0.2">
      <c r="A92" s="1">
        <v>41974</v>
      </c>
      <c r="B92" s="4">
        <v>69.485740661621094</v>
      </c>
      <c r="C92" s="2">
        <v>17.73628998548898</v>
      </c>
      <c r="D92" s="6">
        <v>47.81</v>
      </c>
      <c r="E92" s="8" t="s">
        <v>315</v>
      </c>
    </row>
    <row r="93" spans="1:5" x14ac:dyDescent="0.2">
      <c r="A93" s="1">
        <v>42005</v>
      </c>
      <c r="B93" s="4">
        <v>94.441062927246094</v>
      </c>
      <c r="C93" s="2">
        <v>33.807758487838441</v>
      </c>
      <c r="D93" s="6">
        <v>55.17</v>
      </c>
      <c r="E93" s="8" t="s">
        <v>316</v>
      </c>
    </row>
    <row r="94" spans="1:5" x14ac:dyDescent="0.2">
      <c r="A94" s="1">
        <v>42036</v>
      </c>
      <c r="B94" s="4">
        <v>98.143180847167969</v>
      </c>
      <c r="C94" s="2">
        <v>15.410779413270779</v>
      </c>
      <c r="D94" s="6">
        <v>57.8</v>
      </c>
      <c r="E94" s="8" t="s">
        <v>317</v>
      </c>
    </row>
    <row r="95" spans="1:5" x14ac:dyDescent="0.2">
      <c r="A95" s="1">
        <v>42064</v>
      </c>
      <c r="B95" s="4">
        <v>95.053611755371094</v>
      </c>
      <c r="C95" s="2">
        <v>27.90761311919028</v>
      </c>
      <c r="D95" s="6">
        <v>51.53</v>
      </c>
      <c r="E95" s="8" t="s">
        <v>318</v>
      </c>
    </row>
    <row r="96" spans="1:5" x14ac:dyDescent="0.2">
      <c r="A96" s="1">
        <v>42095</v>
      </c>
      <c r="B96" s="4">
        <v>90.097190856933594</v>
      </c>
      <c r="C96" s="2">
        <v>41.600502610924487</v>
      </c>
      <c r="D96" s="6">
        <v>42.76</v>
      </c>
      <c r="E96" s="8" t="s">
        <v>319</v>
      </c>
    </row>
    <row r="97" spans="1:5" x14ac:dyDescent="0.2">
      <c r="A97" s="1">
        <v>42125</v>
      </c>
      <c r="B97" s="4">
        <v>67.888587951660156</v>
      </c>
      <c r="C97" s="2">
        <v>88.9198601814509</v>
      </c>
      <c r="D97" s="6">
        <v>34.18</v>
      </c>
      <c r="E97" s="8" t="s">
        <v>320</v>
      </c>
    </row>
    <row r="98" spans="1:5" x14ac:dyDescent="0.2">
      <c r="A98" s="1">
        <v>42156</v>
      </c>
      <c r="B98" s="4">
        <v>78.030479431152344</v>
      </c>
      <c r="C98" s="2">
        <v>100.8030355608152</v>
      </c>
      <c r="D98" s="6">
        <v>32.54</v>
      </c>
      <c r="E98" s="8" t="s">
        <v>321</v>
      </c>
    </row>
    <row r="99" spans="1:5" x14ac:dyDescent="0.2">
      <c r="A99" s="1">
        <v>42186</v>
      </c>
      <c r="B99" s="4">
        <v>94.758827209472656</v>
      </c>
      <c r="C99" s="2">
        <v>51.492819678262777</v>
      </c>
      <c r="D99" s="6">
        <v>38.11</v>
      </c>
      <c r="E99" s="8" t="s">
        <v>322</v>
      </c>
    </row>
    <row r="100" spans="1:5" x14ac:dyDescent="0.2">
      <c r="A100" s="1">
        <v>42217</v>
      </c>
      <c r="B100" s="4">
        <v>83.123672485351562</v>
      </c>
      <c r="C100" s="2">
        <v>20.829575502112579</v>
      </c>
      <c r="D100" s="6">
        <v>43.95</v>
      </c>
      <c r="E100" s="8" t="s">
        <v>323</v>
      </c>
    </row>
    <row r="101" spans="1:5" x14ac:dyDescent="0.2">
      <c r="A101" s="1">
        <v>42248</v>
      </c>
      <c r="B101" s="4">
        <v>95.892333984375</v>
      </c>
      <c r="C101" s="2">
        <v>19.609640231423501</v>
      </c>
      <c r="D101" s="6">
        <v>49.6</v>
      </c>
      <c r="E101" s="8" t="s">
        <v>324</v>
      </c>
    </row>
    <row r="102" spans="1:5" x14ac:dyDescent="0.2">
      <c r="A102" s="1">
        <v>42278</v>
      </c>
      <c r="B102" s="4">
        <v>90.870597839355469</v>
      </c>
      <c r="C102" s="2">
        <v>68.608963352999012</v>
      </c>
      <c r="D102" s="6">
        <v>42.82</v>
      </c>
      <c r="E102" s="8" t="s">
        <v>325</v>
      </c>
    </row>
    <row r="103" spans="1:5" x14ac:dyDescent="0.2">
      <c r="A103" s="1">
        <v>42309</v>
      </c>
      <c r="B103" s="4">
        <v>119.51046752929688</v>
      </c>
      <c r="C103" s="2">
        <v>20.503121626281949</v>
      </c>
      <c r="D103" s="6">
        <v>44.04</v>
      </c>
      <c r="E103" s="8" t="s">
        <v>326</v>
      </c>
    </row>
    <row r="104" spans="1:5" x14ac:dyDescent="0.2">
      <c r="A104" s="1">
        <v>42339</v>
      </c>
      <c r="B104" s="4">
        <v>131.21058654785156</v>
      </c>
      <c r="C104" s="2">
        <v>20.475545821354942</v>
      </c>
      <c r="D104" s="6">
        <v>49.03</v>
      </c>
      <c r="E104" s="8" t="s">
        <v>327</v>
      </c>
    </row>
    <row r="105" spans="1:5" x14ac:dyDescent="0.2">
      <c r="A105" s="1">
        <v>42370</v>
      </c>
      <c r="B105" s="4">
        <v>97.502113342285156</v>
      </c>
      <c r="C105" s="2">
        <v>42.781122645061053</v>
      </c>
      <c r="D105" s="6">
        <v>60.91</v>
      </c>
      <c r="E105" s="8" t="s">
        <v>328</v>
      </c>
    </row>
    <row r="106" spans="1:5" x14ac:dyDescent="0.2">
      <c r="A106" s="1">
        <v>42401</v>
      </c>
      <c r="B106" s="4">
        <v>84.315170288085938</v>
      </c>
      <c r="C106" s="2">
        <v>26.272141839100371</v>
      </c>
      <c r="D106" s="6">
        <v>67.75</v>
      </c>
      <c r="E106" s="8" t="s">
        <v>329</v>
      </c>
    </row>
    <row r="107" spans="1:5" x14ac:dyDescent="0.2">
      <c r="A107" s="1">
        <v>42430</v>
      </c>
      <c r="B107" s="4">
        <v>93.452728271484375</v>
      </c>
      <c r="C107" s="2">
        <v>49.187943138521867</v>
      </c>
      <c r="D107" s="6">
        <v>48.79</v>
      </c>
      <c r="E107" s="8" t="s">
        <v>330</v>
      </c>
    </row>
    <row r="108" spans="1:5" x14ac:dyDescent="0.2">
      <c r="A108" s="1">
        <v>42461</v>
      </c>
      <c r="B108" s="4">
        <v>85.372116088867188</v>
      </c>
      <c r="C108" s="2">
        <v>42.923388368010663</v>
      </c>
      <c r="D108" s="6">
        <v>46.17</v>
      </c>
      <c r="E108" s="8" t="s">
        <v>331</v>
      </c>
    </row>
    <row r="109" spans="1:5" x14ac:dyDescent="0.2">
      <c r="A109" s="1">
        <v>42491</v>
      </c>
      <c r="B109" s="4">
        <v>77.354278564453125</v>
      </c>
      <c r="C109" s="2">
        <v>76.848017114656813</v>
      </c>
      <c r="D109" s="6">
        <v>41.37</v>
      </c>
      <c r="E109" s="8" t="s">
        <v>332</v>
      </c>
    </row>
    <row r="110" spans="1:5" x14ac:dyDescent="0.2">
      <c r="A110" s="1">
        <v>42522</v>
      </c>
      <c r="B110" s="4">
        <v>74.2213134765625</v>
      </c>
      <c r="C110" s="2">
        <v>271.07246177622369</v>
      </c>
      <c r="D110" s="6">
        <v>39.72</v>
      </c>
      <c r="E110" s="8" t="s">
        <v>333</v>
      </c>
    </row>
    <row r="111" spans="1:5" x14ac:dyDescent="0.2">
      <c r="A111" s="1">
        <v>42552</v>
      </c>
      <c r="B111" s="4">
        <v>90.431060791015625</v>
      </c>
      <c r="C111" s="2">
        <v>116.3026366192596</v>
      </c>
      <c r="D111" s="6">
        <v>39.99</v>
      </c>
      <c r="E111" s="8" t="s">
        <v>334</v>
      </c>
    </row>
    <row r="112" spans="1:5" x14ac:dyDescent="0.2">
      <c r="A112" s="1">
        <v>42583</v>
      </c>
      <c r="B112" s="4">
        <v>79.6497802734375</v>
      </c>
      <c r="C112" s="2">
        <v>155.2743149883878</v>
      </c>
      <c r="D112" s="6">
        <v>38.97</v>
      </c>
      <c r="E112" s="8" t="s">
        <v>335</v>
      </c>
    </row>
    <row r="113" spans="1:5" x14ac:dyDescent="0.2">
      <c r="A113" s="1">
        <v>42614</v>
      </c>
      <c r="B113" s="4">
        <v>94.0345458984375</v>
      </c>
      <c r="C113" s="2">
        <v>93.079444235359503</v>
      </c>
      <c r="D113" s="6">
        <v>41</v>
      </c>
      <c r="E113" s="8" t="s">
        <v>336</v>
      </c>
    </row>
    <row r="114" spans="1:5" x14ac:dyDescent="0.2">
      <c r="A114" s="1">
        <v>42644</v>
      </c>
      <c r="B114" s="4">
        <v>77.689735412597656</v>
      </c>
      <c r="C114" s="2">
        <v>83.538371339557074</v>
      </c>
      <c r="D114" s="6">
        <v>36.049999999999997</v>
      </c>
      <c r="E114" s="8" t="s">
        <v>337</v>
      </c>
    </row>
    <row r="115" spans="1:5" x14ac:dyDescent="0.2">
      <c r="A115" s="1">
        <v>42675</v>
      </c>
      <c r="B115" s="4">
        <v>71.862342834472656</v>
      </c>
      <c r="C115" s="2">
        <v>540.41870128819392</v>
      </c>
      <c r="D115" s="6">
        <v>46.28</v>
      </c>
      <c r="E115" s="8" t="s">
        <v>338</v>
      </c>
    </row>
    <row r="116" spans="1:5" x14ac:dyDescent="0.2">
      <c r="A116" s="1">
        <v>42705</v>
      </c>
      <c r="B116" s="4">
        <v>86.417243957519531</v>
      </c>
      <c r="C116" s="2">
        <v>275.12017261153028</v>
      </c>
      <c r="D116" s="6">
        <v>32.42</v>
      </c>
      <c r="E116" s="8" t="s">
        <v>339</v>
      </c>
    </row>
    <row r="117" spans="1:5" x14ac:dyDescent="0.2">
      <c r="A117" s="1">
        <v>42736</v>
      </c>
      <c r="B117" s="4">
        <v>86.761878967285156</v>
      </c>
      <c r="C117" s="2">
        <v>474.80270698080318</v>
      </c>
      <c r="D117" s="6">
        <v>31.28</v>
      </c>
      <c r="E117" s="8" t="s">
        <v>340</v>
      </c>
    </row>
    <row r="118" spans="1:5" x14ac:dyDescent="0.2">
      <c r="A118" s="1">
        <v>42767</v>
      </c>
      <c r="B118" s="4">
        <v>98.752326965332031</v>
      </c>
      <c r="C118" s="2">
        <v>250.13309315641871</v>
      </c>
      <c r="D118" s="6">
        <v>27.4</v>
      </c>
      <c r="E118" s="8" t="s">
        <v>341</v>
      </c>
    </row>
    <row r="119" spans="1:5" x14ac:dyDescent="0.2">
      <c r="A119" s="1">
        <v>42795</v>
      </c>
      <c r="B119" s="4">
        <v>80.134109497070312</v>
      </c>
      <c r="C119" s="2">
        <v>151.94312083610339</v>
      </c>
      <c r="D119" s="6">
        <v>29.25</v>
      </c>
      <c r="E119" s="8" t="s">
        <v>342</v>
      </c>
    </row>
    <row r="120" spans="1:5" x14ac:dyDescent="0.2">
      <c r="A120" s="1">
        <v>42826</v>
      </c>
      <c r="B120" s="4">
        <v>93.111419677734375</v>
      </c>
      <c r="C120" s="2">
        <v>153.35011477760241</v>
      </c>
      <c r="D120" s="6">
        <v>27.96</v>
      </c>
      <c r="E120" s="8" t="s">
        <v>343</v>
      </c>
    </row>
    <row r="121" spans="1:5" x14ac:dyDescent="0.2">
      <c r="A121" s="1">
        <v>42856</v>
      </c>
      <c r="B121" s="4">
        <v>78.910453796386719</v>
      </c>
      <c r="C121" s="2">
        <v>87.267511157505794</v>
      </c>
      <c r="D121" s="6">
        <v>32.47</v>
      </c>
      <c r="E121" s="8" t="s">
        <v>344</v>
      </c>
    </row>
    <row r="122" spans="1:5" x14ac:dyDescent="0.2">
      <c r="A122" s="1">
        <v>42887</v>
      </c>
      <c r="B122" s="4">
        <v>105.329345703125</v>
      </c>
      <c r="C122" s="2">
        <v>86.85827933221465</v>
      </c>
      <c r="D122" s="6">
        <v>31.96</v>
      </c>
      <c r="E122" s="8" t="s">
        <v>345</v>
      </c>
    </row>
    <row r="123" spans="1:5" x14ac:dyDescent="0.2">
      <c r="A123" s="1">
        <v>42917</v>
      </c>
      <c r="B123" s="4">
        <v>86.891197204589844</v>
      </c>
      <c r="C123" s="2">
        <v>92.143454837233946</v>
      </c>
      <c r="D123" s="6">
        <v>30.86</v>
      </c>
      <c r="E123" s="8" t="s">
        <v>346</v>
      </c>
    </row>
    <row r="124" spans="1:5" x14ac:dyDescent="0.2">
      <c r="A124" s="1">
        <v>42948</v>
      </c>
      <c r="B124" s="4">
        <v>107.87451171875</v>
      </c>
      <c r="C124" s="2">
        <v>91.351066874105086</v>
      </c>
      <c r="D124" s="6">
        <v>29.13</v>
      </c>
      <c r="E124" s="8" t="s">
        <v>347</v>
      </c>
    </row>
    <row r="125" spans="1:5" x14ac:dyDescent="0.2">
      <c r="A125" s="1">
        <v>42979</v>
      </c>
      <c r="B125" s="4">
        <v>95.024681091308594</v>
      </c>
      <c r="C125" s="2">
        <v>76.291078252926809</v>
      </c>
      <c r="D125" s="6">
        <v>27.58</v>
      </c>
      <c r="E125" s="8" t="s">
        <v>348</v>
      </c>
    </row>
    <row r="126" spans="1:5" x14ac:dyDescent="0.2">
      <c r="A126" s="1">
        <v>43009</v>
      </c>
      <c r="B126" s="4">
        <v>76.098663330078125</v>
      </c>
      <c r="C126" s="2">
        <v>96.872971375518702</v>
      </c>
      <c r="D126" s="6">
        <v>26.15</v>
      </c>
      <c r="E126" s="8" t="s">
        <v>349</v>
      </c>
    </row>
    <row r="127" spans="1:5" x14ac:dyDescent="0.2">
      <c r="A127" s="1">
        <v>43040</v>
      </c>
      <c r="B127" s="4">
        <v>61.759689331054688</v>
      </c>
      <c r="C127" s="2">
        <v>49.481161423335891</v>
      </c>
      <c r="D127" s="6">
        <v>27.67</v>
      </c>
      <c r="E127" s="8" t="s">
        <v>350</v>
      </c>
    </row>
    <row r="128" spans="1:5" x14ac:dyDescent="0.2">
      <c r="A128" s="1">
        <v>43070</v>
      </c>
      <c r="B128" s="4">
        <v>64.841156005859375</v>
      </c>
      <c r="C128" s="2">
        <v>182.29972181911791</v>
      </c>
      <c r="D128" s="6">
        <v>21.59</v>
      </c>
      <c r="E128" s="8" t="s">
        <v>351</v>
      </c>
    </row>
    <row r="129" spans="1:5" x14ac:dyDescent="0.2">
      <c r="A129" s="1">
        <v>43101</v>
      </c>
      <c r="B129" s="4">
        <v>69.343276977539062</v>
      </c>
      <c r="C129" s="2">
        <v>247.78681839219831</v>
      </c>
      <c r="D129" s="6">
        <v>22.99</v>
      </c>
      <c r="E129" s="8" t="s">
        <v>352</v>
      </c>
    </row>
    <row r="130" spans="1:5" x14ac:dyDescent="0.2">
      <c r="A130" s="1">
        <v>43132</v>
      </c>
      <c r="B130" s="4">
        <v>58.211559295654297</v>
      </c>
      <c r="C130" s="2">
        <v>69.094741880130613</v>
      </c>
      <c r="D130" s="6">
        <v>26.69</v>
      </c>
      <c r="E130" s="8" t="s">
        <v>353</v>
      </c>
    </row>
    <row r="131" spans="1:5" x14ac:dyDescent="0.2">
      <c r="A131" s="1">
        <v>43160</v>
      </c>
      <c r="B131" s="4">
        <v>76.136474609375</v>
      </c>
      <c r="C131" s="2">
        <v>524.65186365770012</v>
      </c>
      <c r="D131" s="6">
        <v>26</v>
      </c>
      <c r="E131" s="8" t="s">
        <v>354</v>
      </c>
    </row>
    <row r="132" spans="1:5" x14ac:dyDescent="0.2">
      <c r="A132" s="1">
        <v>43191</v>
      </c>
      <c r="B132" s="4">
        <v>76.401657104492188</v>
      </c>
      <c r="C132" s="2">
        <v>463.18065339234801</v>
      </c>
      <c r="D132" s="6">
        <v>27.71</v>
      </c>
      <c r="E132" s="8" t="s">
        <v>355</v>
      </c>
    </row>
    <row r="133" spans="1:5" x14ac:dyDescent="0.2">
      <c r="A133" s="1">
        <v>43221</v>
      </c>
      <c r="B133" s="4">
        <v>83.750419616699219</v>
      </c>
      <c r="C133" s="2">
        <v>283.08382111757919</v>
      </c>
      <c r="D133" s="6">
        <v>26.68</v>
      </c>
      <c r="E133" s="8" t="s">
        <v>356</v>
      </c>
    </row>
    <row r="134" spans="1:5" x14ac:dyDescent="0.2">
      <c r="A134" s="1">
        <v>43252</v>
      </c>
      <c r="B134" s="4">
        <v>77.220542907714844</v>
      </c>
      <c r="C134" s="2">
        <v>688.39963799575457</v>
      </c>
      <c r="D134" s="6">
        <v>27.52</v>
      </c>
      <c r="E134" s="8" t="s">
        <v>357</v>
      </c>
    </row>
    <row r="135" spans="1:5" x14ac:dyDescent="0.2">
      <c r="A135" s="1">
        <v>43282</v>
      </c>
      <c r="B135" s="4">
        <v>68.615348815917969</v>
      </c>
      <c r="C135" s="2">
        <v>904.71914104239397</v>
      </c>
      <c r="D135" s="6">
        <v>27.12</v>
      </c>
      <c r="E135" s="8" t="s">
        <v>358</v>
      </c>
    </row>
    <row r="136" spans="1:5" x14ac:dyDescent="0.2">
      <c r="A136" s="1">
        <v>43313</v>
      </c>
      <c r="B136" s="4">
        <v>74.005218505859375</v>
      </c>
      <c r="C136" s="2">
        <v>469.29294766857811</v>
      </c>
      <c r="D136" s="6">
        <v>25.29</v>
      </c>
      <c r="E136" s="8" t="s">
        <v>359</v>
      </c>
    </row>
    <row r="137" spans="1:5" x14ac:dyDescent="0.2">
      <c r="A137" s="1">
        <v>43344</v>
      </c>
      <c r="B137" s="4">
        <v>51.753746032714844</v>
      </c>
      <c r="C137" s="2">
        <v>323.39119025169828</v>
      </c>
      <c r="D137" s="6">
        <v>26.54</v>
      </c>
      <c r="E137" s="8" t="s">
        <v>360</v>
      </c>
    </row>
    <row r="138" spans="1:5" x14ac:dyDescent="0.2">
      <c r="A138" s="1">
        <v>43374</v>
      </c>
      <c r="B138" s="4">
        <v>60.494251251220703</v>
      </c>
      <c r="C138" s="2">
        <v>443.23030281078809</v>
      </c>
      <c r="D138" s="6">
        <v>28.66</v>
      </c>
      <c r="E138" s="8" t="s">
        <v>361</v>
      </c>
    </row>
    <row r="139" spans="1:5" x14ac:dyDescent="0.2">
      <c r="A139" s="1">
        <v>43405</v>
      </c>
      <c r="B139" s="4">
        <v>52.751285552978516</v>
      </c>
      <c r="C139" s="2">
        <v>403.07749319330469</v>
      </c>
      <c r="D139" s="6">
        <v>45.32</v>
      </c>
      <c r="E139" s="8" t="s">
        <v>362</v>
      </c>
    </row>
    <row r="140" spans="1:5" x14ac:dyDescent="0.2">
      <c r="A140" s="1">
        <v>43435</v>
      </c>
      <c r="B140" s="4">
        <v>63.819053649902344</v>
      </c>
      <c r="C140" s="2">
        <v>681.87188920711912</v>
      </c>
      <c r="D140" s="6">
        <v>48.83</v>
      </c>
      <c r="E140" s="8" t="s">
        <v>363</v>
      </c>
    </row>
    <row r="141" spans="1:5" x14ac:dyDescent="0.2">
      <c r="A141" s="1">
        <v>43466</v>
      </c>
      <c r="B141" s="4">
        <v>66.391738891601562</v>
      </c>
      <c r="C141" s="2">
        <v>715.62023250868731</v>
      </c>
      <c r="D141" s="6">
        <v>41.42</v>
      </c>
      <c r="E141" s="8" t="s">
        <v>364</v>
      </c>
    </row>
    <row r="142" spans="1:5" x14ac:dyDescent="0.2">
      <c r="A142" s="1">
        <v>43497</v>
      </c>
      <c r="B142" s="4">
        <v>75.31292724609375</v>
      </c>
      <c r="C142" s="2">
        <v>307.09272136420037</v>
      </c>
      <c r="D142" s="6">
        <v>32.04</v>
      </c>
      <c r="E142" s="8" t="s">
        <v>365</v>
      </c>
    </row>
    <row r="143" spans="1:5" x14ac:dyDescent="0.2">
      <c r="A143" s="1">
        <v>43525</v>
      </c>
      <c r="B143" s="4">
        <v>63.711704254150391</v>
      </c>
      <c r="C143" s="2">
        <v>287.66534626635422</v>
      </c>
      <c r="D143" s="6">
        <v>28.46</v>
      </c>
      <c r="E143" s="8" t="s">
        <v>366</v>
      </c>
    </row>
    <row r="144" spans="1:5" x14ac:dyDescent="0.2">
      <c r="A144" s="1">
        <v>43556</v>
      </c>
      <c r="B144" s="4">
        <v>60.058460235595703</v>
      </c>
      <c r="C144" s="2">
        <v>335.67498973660048</v>
      </c>
      <c r="D144" s="6">
        <v>26.01</v>
      </c>
      <c r="E144" s="8" t="s">
        <v>367</v>
      </c>
    </row>
    <row r="145" spans="1:5" x14ac:dyDescent="0.2">
      <c r="A145" s="1">
        <v>43586</v>
      </c>
      <c r="B145" s="4">
        <v>76.116859436035156</v>
      </c>
      <c r="C145" s="2">
        <v>786.54209303819198</v>
      </c>
      <c r="D145" s="6">
        <v>32.46</v>
      </c>
      <c r="E145" s="8" t="s">
        <v>368</v>
      </c>
    </row>
    <row r="146" spans="1:5" x14ac:dyDescent="0.2">
      <c r="A146" s="1">
        <v>43617</v>
      </c>
      <c r="B146" s="4">
        <v>73.257400512695312</v>
      </c>
      <c r="C146" s="2">
        <v>1374.280097927616</v>
      </c>
      <c r="D146" s="6">
        <v>41.57</v>
      </c>
      <c r="E146" s="8" t="s">
        <v>369</v>
      </c>
    </row>
    <row r="147" spans="1:5" x14ac:dyDescent="0.2">
      <c r="A147" s="1">
        <v>43647</v>
      </c>
      <c r="B147" s="4">
        <v>70.43902587890625</v>
      </c>
      <c r="C147" s="2">
        <v>600.78822909992812</v>
      </c>
      <c r="D147" s="6">
        <v>32.799999999999997</v>
      </c>
      <c r="E147" s="8" t="s">
        <v>370</v>
      </c>
    </row>
    <row r="148" spans="1:5" x14ac:dyDescent="0.2">
      <c r="A148" s="1">
        <v>43678</v>
      </c>
      <c r="B148" s="4">
        <v>94.956893920898438</v>
      </c>
      <c r="C148" s="2">
        <v>1946.6829997926491</v>
      </c>
      <c r="D148" s="6">
        <v>34.57</v>
      </c>
      <c r="E148" s="8" t="s">
        <v>371</v>
      </c>
    </row>
    <row r="149" spans="1:5" x14ac:dyDescent="0.2">
      <c r="A149" s="1">
        <v>43709</v>
      </c>
      <c r="B149" s="4">
        <v>70.829391479492188</v>
      </c>
      <c r="C149" s="2">
        <v>919.11534703279972</v>
      </c>
      <c r="D149" s="6">
        <v>37.76</v>
      </c>
      <c r="E149" s="8" t="s">
        <v>371</v>
      </c>
    </row>
    <row r="150" spans="1:5" x14ac:dyDescent="0.2">
      <c r="A150" s="1">
        <v>43739</v>
      </c>
      <c r="B150" s="4">
        <v>72.865119934082031</v>
      </c>
      <c r="C150" s="2">
        <v>842.41319202596674</v>
      </c>
      <c r="D150" s="6">
        <v>37.72</v>
      </c>
      <c r="E150" s="8" t="s">
        <v>372</v>
      </c>
    </row>
    <row r="151" spans="1:5" x14ac:dyDescent="0.2">
      <c r="A151" s="1">
        <v>43770</v>
      </c>
      <c r="B151" s="4">
        <v>64.525749206542969</v>
      </c>
      <c r="C151" s="2">
        <v>597.61785170298162</v>
      </c>
      <c r="D151" s="6">
        <v>33.14</v>
      </c>
      <c r="E151" s="8" t="s">
        <v>373</v>
      </c>
    </row>
    <row r="152" spans="1:5" x14ac:dyDescent="0.2">
      <c r="A152" s="1">
        <v>43800</v>
      </c>
      <c r="B152" s="4">
        <v>50.649333953857422</v>
      </c>
      <c r="C152" s="2">
        <v>851.97626288309982</v>
      </c>
      <c r="D152" s="6">
        <v>27.93</v>
      </c>
      <c r="E152" s="8" t="s">
        <v>374</v>
      </c>
    </row>
    <row r="153" spans="1:5" x14ac:dyDescent="0.2">
      <c r="A153" s="1">
        <v>43831</v>
      </c>
      <c r="B153" s="4">
        <v>104.52386474609375</v>
      </c>
      <c r="C153" s="2">
        <v>646.81815154335322</v>
      </c>
      <c r="D153" s="6">
        <v>33.01</v>
      </c>
      <c r="E153" s="8" t="s">
        <v>375</v>
      </c>
    </row>
    <row r="154" spans="1:5" x14ac:dyDescent="0.2">
      <c r="A154" s="1">
        <v>43862</v>
      </c>
      <c r="B154" s="4">
        <v>62.856437683105469</v>
      </c>
      <c r="C154" s="2">
        <v>462.98232342172469</v>
      </c>
      <c r="D154" s="6">
        <v>38.83</v>
      </c>
      <c r="E154" s="8" t="s">
        <v>376</v>
      </c>
    </row>
    <row r="155" spans="1:5" x14ac:dyDescent="0.2">
      <c r="A155" s="1">
        <v>43891</v>
      </c>
      <c r="B155" s="4">
        <v>80.561294555664062</v>
      </c>
      <c r="C155" s="2">
        <v>194.8283473003861</v>
      </c>
      <c r="D155" s="6">
        <v>126.24</v>
      </c>
      <c r="E155" s="8" t="s">
        <v>377</v>
      </c>
    </row>
    <row r="156" spans="1:5" x14ac:dyDescent="0.2">
      <c r="A156" s="1">
        <v>43922</v>
      </c>
      <c r="B156" s="4">
        <v>67.539596557617188</v>
      </c>
      <c r="C156" s="2">
        <v>239.93283194886371</v>
      </c>
      <c r="D156" s="6">
        <v>163.65</v>
      </c>
      <c r="E156" s="8" t="s">
        <v>378</v>
      </c>
    </row>
    <row r="157" spans="1:5" x14ac:dyDescent="0.2">
      <c r="A157" s="1">
        <v>43952</v>
      </c>
      <c r="B157" s="4">
        <v>75.353851318359375</v>
      </c>
      <c r="C157" s="2">
        <v>161.47694159781119</v>
      </c>
      <c r="D157" s="6">
        <v>87.7</v>
      </c>
      <c r="E157" s="8" t="s">
        <v>379</v>
      </c>
    </row>
    <row r="158" spans="1:5" x14ac:dyDescent="0.2">
      <c r="A158" s="1">
        <v>43983</v>
      </c>
      <c r="B158" s="4">
        <v>64.860862731933594</v>
      </c>
      <c r="C158" s="2">
        <v>57.086247228716893</v>
      </c>
      <c r="D158" s="6">
        <v>63.79</v>
      </c>
      <c r="E158" s="8" t="s">
        <v>380</v>
      </c>
    </row>
    <row r="159" spans="1:5" x14ac:dyDescent="0.2">
      <c r="A159" s="1">
        <v>44013</v>
      </c>
      <c r="B159" s="4">
        <v>61.819679260253906</v>
      </c>
      <c r="C159" s="2">
        <v>89.809960658400101</v>
      </c>
      <c r="D159" s="6">
        <v>46.31</v>
      </c>
      <c r="E159" s="8" t="s">
        <v>381</v>
      </c>
    </row>
    <row r="160" spans="1:5" x14ac:dyDescent="0.2">
      <c r="A160" s="1">
        <v>44044</v>
      </c>
      <c r="B160" s="4">
        <v>55.425365447998047</v>
      </c>
      <c r="C160" s="2">
        <v>150.93140279198809</v>
      </c>
      <c r="D160" s="6">
        <v>34.9</v>
      </c>
      <c r="E160" s="8" t="s">
        <v>382</v>
      </c>
    </row>
    <row r="161" spans="1:5" x14ac:dyDescent="0.2">
      <c r="A161" s="1">
        <v>44075</v>
      </c>
      <c r="B161" s="4">
        <v>59.534172058105469</v>
      </c>
      <c r="C161" s="2">
        <v>96.581922214806738</v>
      </c>
      <c r="D161" s="6">
        <v>43.69</v>
      </c>
      <c r="E161" s="8" t="s">
        <v>383</v>
      </c>
    </row>
    <row r="162" spans="1:5" x14ac:dyDescent="0.2">
      <c r="A162" s="1">
        <v>44105</v>
      </c>
      <c r="B162" s="4">
        <v>54.338787078857422</v>
      </c>
      <c r="C162" s="2">
        <v>331.19625445460377</v>
      </c>
      <c r="D162" s="6">
        <v>48.83</v>
      </c>
      <c r="E162" s="8" t="s">
        <v>384</v>
      </c>
    </row>
    <row r="163" spans="1:5" x14ac:dyDescent="0.2">
      <c r="A163" s="1">
        <v>44136</v>
      </c>
      <c r="B163" s="4">
        <v>50.446197509765625</v>
      </c>
      <c r="C163" s="2">
        <v>204.6083444340978</v>
      </c>
      <c r="D163" s="6">
        <v>49.78</v>
      </c>
      <c r="E163" s="8" t="s">
        <v>385</v>
      </c>
    </row>
    <row r="164" spans="1:5" x14ac:dyDescent="0.2">
      <c r="A164" s="1">
        <v>44166</v>
      </c>
      <c r="B164" s="4">
        <v>56.598903656005859</v>
      </c>
      <c r="C164" s="2">
        <v>123.5840211155809</v>
      </c>
      <c r="D164" s="6">
        <v>39.82</v>
      </c>
      <c r="E164" s="8" t="s">
        <v>386</v>
      </c>
    </row>
    <row r="165" spans="1:5" x14ac:dyDescent="0.2">
      <c r="A165" s="1">
        <v>44197</v>
      </c>
      <c r="B165" s="4">
        <v>61.636680603027344</v>
      </c>
      <c r="C165" s="2">
        <v>72.345173252029838</v>
      </c>
      <c r="D165" s="6">
        <v>37.75</v>
      </c>
      <c r="E165" s="8" t="s">
        <v>387</v>
      </c>
    </row>
    <row r="166" spans="1:5" x14ac:dyDescent="0.2">
      <c r="A166" s="1">
        <v>44228</v>
      </c>
      <c r="B166" s="4">
        <v>52.294509887695312</v>
      </c>
      <c r="C166" s="2">
        <v>52.348352128865287</v>
      </c>
      <c r="D166" s="6">
        <v>37.06</v>
      </c>
      <c r="E166" s="8" t="s">
        <v>388</v>
      </c>
    </row>
    <row r="167" spans="1:5" x14ac:dyDescent="0.2">
      <c r="A167" s="1">
        <v>44256</v>
      </c>
      <c r="B167" s="4">
        <v>53.886310577392578</v>
      </c>
      <c r="C167" s="2">
        <v>47.673847749396302</v>
      </c>
      <c r="D167" s="6">
        <v>42.42</v>
      </c>
      <c r="E167" s="8" t="s">
        <v>389</v>
      </c>
    </row>
    <row r="168" spans="1:5" x14ac:dyDescent="0.2">
      <c r="A168" s="1">
        <v>44287</v>
      </c>
      <c r="B168" s="4">
        <v>59.975521087646484</v>
      </c>
      <c r="C168" s="2">
        <v>72.419087455502108</v>
      </c>
      <c r="D168" s="6">
        <v>38.32</v>
      </c>
      <c r="E168" s="8" t="s">
        <v>390</v>
      </c>
    </row>
    <row r="169" spans="1:5" x14ac:dyDescent="0.2">
      <c r="A169" s="1">
        <v>44317</v>
      </c>
      <c r="B169" s="4">
        <v>70.34014892578125</v>
      </c>
      <c r="C169" s="2">
        <v>42.693271334351749</v>
      </c>
      <c r="D169" s="6">
        <v>37.11</v>
      </c>
      <c r="E169" s="8" t="s">
        <v>391</v>
      </c>
    </row>
    <row r="170" spans="1:5" x14ac:dyDescent="0.2">
      <c r="A170" s="1">
        <v>44348</v>
      </c>
      <c r="B170" s="4">
        <v>59.444995880126953</v>
      </c>
      <c r="C170" s="2">
        <v>40.750572804672721</v>
      </c>
      <c r="D170" s="6">
        <v>33</v>
      </c>
      <c r="E170" s="8" t="s">
        <v>392</v>
      </c>
    </row>
    <row r="171" spans="1:5" x14ac:dyDescent="0.2">
      <c r="A171" s="1">
        <v>44378</v>
      </c>
      <c r="B171" s="4">
        <v>46.875724792480469</v>
      </c>
      <c r="C171" s="2">
        <v>20.80792611607632</v>
      </c>
      <c r="D171" s="6">
        <v>37.71</v>
      </c>
      <c r="E171" s="8" t="s">
        <v>393</v>
      </c>
    </row>
    <row r="172" spans="1:5" x14ac:dyDescent="0.2">
      <c r="A172" s="1">
        <v>44409</v>
      </c>
      <c r="B172" s="4">
        <v>59.063159942626953</v>
      </c>
      <c r="C172" s="2">
        <v>31.874577466506441</v>
      </c>
      <c r="D172" s="6">
        <v>38.200000000000003</v>
      </c>
      <c r="E172" s="8" t="s">
        <v>394</v>
      </c>
    </row>
    <row r="173" spans="1:5" x14ac:dyDescent="0.2">
      <c r="A173" s="1">
        <v>44440</v>
      </c>
      <c r="B173" s="4">
        <v>64.566619873046875</v>
      </c>
      <c r="C173" s="2">
        <v>7.6726184335797338</v>
      </c>
      <c r="D173" s="6">
        <v>34.01</v>
      </c>
      <c r="E173" s="8" t="s">
        <v>395</v>
      </c>
    </row>
    <row r="174" spans="1:5" x14ac:dyDescent="0.2">
      <c r="A174" s="1">
        <v>44470</v>
      </c>
      <c r="B174" s="4">
        <v>53.482902526855469</v>
      </c>
      <c r="C174" s="2">
        <v>40.942714573602061</v>
      </c>
      <c r="D174" s="6">
        <v>37.28</v>
      </c>
      <c r="E174" s="8" t="s">
        <v>396</v>
      </c>
    </row>
    <row r="175" spans="1:5" x14ac:dyDescent="0.2">
      <c r="A175" s="1">
        <v>44501</v>
      </c>
      <c r="B175" s="4">
        <v>52.676792144775391</v>
      </c>
      <c r="C175" s="2">
        <v>53.022958656656023</v>
      </c>
      <c r="D175" s="6">
        <v>41.05</v>
      </c>
      <c r="E175" s="8" t="s">
        <v>397</v>
      </c>
    </row>
    <row r="176" spans="1:5" x14ac:dyDescent="0.2">
      <c r="A176" s="1">
        <v>44531</v>
      </c>
      <c r="B176" s="4">
        <v>69.357078552246094</v>
      </c>
      <c r="C176" s="2">
        <v>24.930457398068562</v>
      </c>
      <c r="D176" s="6">
        <v>50.11</v>
      </c>
      <c r="E176" s="8" t="s">
        <v>398</v>
      </c>
    </row>
    <row r="177" spans="1:5" x14ac:dyDescent="0.2">
      <c r="A177" s="1">
        <v>44562</v>
      </c>
      <c r="B177" s="4">
        <v>85.095382690429688</v>
      </c>
      <c r="C177" s="2">
        <v>37.45707675166372</v>
      </c>
      <c r="D177" s="6">
        <v>41.35</v>
      </c>
      <c r="E177" s="8" t="s">
        <v>399</v>
      </c>
    </row>
    <row r="178" spans="1:5" x14ac:dyDescent="0.2">
      <c r="A178" s="1">
        <v>44593</v>
      </c>
      <c r="B178" s="4">
        <v>120.52434539794922</v>
      </c>
      <c r="C178" s="2">
        <v>113.8312137095734</v>
      </c>
      <c r="D178" s="6">
        <v>46.73</v>
      </c>
      <c r="E178" s="8" t="s">
        <v>400</v>
      </c>
    </row>
    <row r="179" spans="1:5" x14ac:dyDescent="0.2">
      <c r="A179" s="1">
        <v>44621</v>
      </c>
      <c r="B179" s="4">
        <v>167.34440612792969</v>
      </c>
      <c r="C179" s="2">
        <v>70.311721013902741</v>
      </c>
      <c r="D179" s="6">
        <v>67.5</v>
      </c>
      <c r="E179" s="8" t="s">
        <v>401</v>
      </c>
    </row>
    <row r="180" spans="1:5" x14ac:dyDescent="0.2">
      <c r="A180" s="1">
        <v>44652</v>
      </c>
      <c r="B180" s="4">
        <v>127.23625946044922</v>
      </c>
      <c r="C180" s="2">
        <v>44.537893575411793</v>
      </c>
      <c r="D180" s="6">
        <v>52.85</v>
      </c>
      <c r="E180" s="8" t="s">
        <v>402</v>
      </c>
    </row>
    <row r="181" spans="1:5" x14ac:dyDescent="0.2">
      <c r="A181" s="1">
        <v>44682</v>
      </c>
      <c r="B181" s="4">
        <v>99.604827880859375</v>
      </c>
      <c r="C181" s="2">
        <v>78.178057814442212</v>
      </c>
      <c r="D181" s="6">
        <v>51.64</v>
      </c>
      <c r="E181" s="8" t="s">
        <v>403</v>
      </c>
    </row>
    <row r="182" spans="1:5" x14ac:dyDescent="0.2">
      <c r="A182" s="1">
        <v>44713</v>
      </c>
      <c r="B182" s="4">
        <v>100.10216522216797</v>
      </c>
      <c r="C182" s="2">
        <v>97.342332463588605</v>
      </c>
      <c r="D182" s="6">
        <v>47</v>
      </c>
      <c r="E182" s="8" t="s">
        <v>404</v>
      </c>
    </row>
    <row r="183" spans="1:5" x14ac:dyDescent="0.2">
      <c r="A183" s="1">
        <v>44743</v>
      </c>
      <c r="B183" s="4">
        <v>97.2652587890625</v>
      </c>
      <c r="C183" s="2">
        <v>71.545074087536392</v>
      </c>
      <c r="D183" s="6">
        <v>50.44</v>
      </c>
      <c r="E183" s="8" t="s">
        <v>405</v>
      </c>
    </row>
    <row r="184" spans="1:5" x14ac:dyDescent="0.2">
      <c r="A184" s="1">
        <v>44774</v>
      </c>
      <c r="B184" s="4">
        <v>119.83222198486328</v>
      </c>
      <c r="C184" s="2">
        <v>150.4923023356838</v>
      </c>
      <c r="D184" s="6">
        <v>48.84</v>
      </c>
      <c r="E184" s="8" t="s">
        <v>406</v>
      </c>
    </row>
    <row r="185" spans="1:5" x14ac:dyDescent="0.2">
      <c r="A185" s="1">
        <v>44805</v>
      </c>
      <c r="B185" s="4">
        <v>112.98688507080078</v>
      </c>
      <c r="C185" s="2">
        <v>50.425833021947973</v>
      </c>
      <c r="D185" s="6">
        <v>50.44</v>
      </c>
      <c r="E185" s="8" t="s">
        <v>407</v>
      </c>
    </row>
    <row r="186" spans="1:5" x14ac:dyDescent="0.2">
      <c r="A186" s="1">
        <v>44835</v>
      </c>
      <c r="B186" s="4">
        <v>129.13845825195312</v>
      </c>
      <c r="C186" s="2">
        <v>92.840876451409855</v>
      </c>
      <c r="D186" s="6">
        <v>50.61</v>
      </c>
      <c r="E186" s="8" t="s">
        <v>408</v>
      </c>
    </row>
    <row r="187" spans="1:5" x14ac:dyDescent="0.2">
      <c r="A187" s="1">
        <v>44866</v>
      </c>
      <c r="B187" s="4">
        <v>100.43695831298828</v>
      </c>
      <c r="C187" s="2">
        <v>81.308891572777497</v>
      </c>
      <c r="D187" s="6">
        <v>46.53</v>
      </c>
      <c r="E187" s="8" t="s">
        <v>409</v>
      </c>
    </row>
    <row r="188" spans="1:5" x14ac:dyDescent="0.2">
      <c r="A188" s="1">
        <v>44896</v>
      </c>
      <c r="B188" s="4">
        <v>95.667579650878906</v>
      </c>
      <c r="C188" s="2">
        <v>16.205068934524409</v>
      </c>
      <c r="D188" s="6">
        <v>43.86</v>
      </c>
      <c r="E188" s="8" t="s">
        <v>410</v>
      </c>
    </row>
    <row r="189" spans="1:5" x14ac:dyDescent="0.2">
      <c r="A189" s="1">
        <v>44927</v>
      </c>
      <c r="B189" s="4">
        <v>81.176460266113281</v>
      </c>
      <c r="C189" s="2">
        <v>100.53236887153101</v>
      </c>
      <c r="D189" s="6">
        <v>40.28</v>
      </c>
      <c r="E189" s="8" t="s">
        <v>411</v>
      </c>
    </row>
    <row r="190" spans="1:5" x14ac:dyDescent="0.2">
      <c r="A190" s="1">
        <v>44958</v>
      </c>
      <c r="B190" s="4">
        <v>100.30805206298828</v>
      </c>
      <c r="C190" s="2">
        <v>26.53255624033099</v>
      </c>
      <c r="D190" s="6">
        <v>37.07</v>
      </c>
      <c r="E190" s="8" t="s">
        <v>412</v>
      </c>
    </row>
    <row r="191" spans="1:5" x14ac:dyDescent="0.2">
      <c r="A191" s="1">
        <v>44986</v>
      </c>
      <c r="B191" s="4">
        <v>95.413436889648438</v>
      </c>
      <c r="C191" s="2">
        <v>85.592664827516003</v>
      </c>
      <c r="D191" s="6">
        <v>42.24</v>
      </c>
      <c r="E191" s="8" t="s">
        <v>413</v>
      </c>
    </row>
    <row r="192" spans="1:5" x14ac:dyDescent="0.2">
      <c r="A192" s="1">
        <v>45017</v>
      </c>
      <c r="B192" s="4">
        <v>89.502388000488281</v>
      </c>
      <c r="C192" s="2">
        <v>46.173312643995239</v>
      </c>
      <c r="D192" s="6">
        <v>35.61</v>
      </c>
      <c r="E192" s="8" t="s">
        <v>414</v>
      </c>
    </row>
    <row r="193" spans="1:5" x14ac:dyDescent="0.2">
      <c r="A193" s="1">
        <v>45047</v>
      </c>
      <c r="B193" s="4">
        <v>86.642433166503906</v>
      </c>
      <c r="C193" s="2">
        <v>90.058278379250254</v>
      </c>
      <c r="D193" s="6">
        <v>37.119999999999997</v>
      </c>
      <c r="E193" s="8" t="s">
        <v>415</v>
      </c>
    </row>
    <row r="194" spans="1:5" x14ac:dyDescent="0.2">
      <c r="A194" s="1">
        <v>45078</v>
      </c>
      <c r="B194" s="4">
        <v>100.80218505859375</v>
      </c>
      <c r="C194" s="2">
        <v>45.437647365036092</v>
      </c>
      <c r="D194" s="6">
        <v>35.47</v>
      </c>
      <c r="E194" s="8" t="s">
        <v>393</v>
      </c>
    </row>
    <row r="195" spans="1:5" x14ac:dyDescent="0.2">
      <c r="A195" s="1">
        <v>45108</v>
      </c>
      <c r="B195" s="4">
        <v>94.537269592285156</v>
      </c>
      <c r="C195" s="2">
        <v>6.4672766653756053</v>
      </c>
      <c r="D195" s="6">
        <v>31.58</v>
      </c>
      <c r="E195" s="8" t="s">
        <v>416</v>
      </c>
    </row>
    <row r="196" spans="1:5" x14ac:dyDescent="0.2">
      <c r="A196" s="1">
        <v>45139</v>
      </c>
      <c r="B196" s="4">
        <v>74.219841003417969</v>
      </c>
      <c r="C196" s="2">
        <v>31.831325105956559</v>
      </c>
      <c r="D196" s="6">
        <v>28.16</v>
      </c>
      <c r="E196" s="8" t="s">
        <v>417</v>
      </c>
    </row>
    <row r="197" spans="1:5" x14ac:dyDescent="0.2">
      <c r="A197" s="1">
        <v>45170</v>
      </c>
      <c r="B197" s="4">
        <v>69.455848693847656</v>
      </c>
      <c r="C197" s="2">
        <v>25.78583853503708</v>
      </c>
      <c r="D197" s="6">
        <v>28.79</v>
      </c>
      <c r="E197" s="8" t="s">
        <v>418</v>
      </c>
    </row>
    <row r="198" spans="1:5" x14ac:dyDescent="0.2">
      <c r="A198" s="1">
        <v>45200</v>
      </c>
      <c r="B198" s="4">
        <v>138.62757873535156</v>
      </c>
      <c r="C198" s="2">
        <v>33.341331309603483</v>
      </c>
      <c r="D198" s="6">
        <v>40.65</v>
      </c>
      <c r="E198" s="8" t="s">
        <v>419</v>
      </c>
    </row>
    <row r="199" spans="1:5" x14ac:dyDescent="0.2">
      <c r="A199" s="1">
        <v>45231</v>
      </c>
      <c r="B199" s="4">
        <v>138.68270874023438</v>
      </c>
      <c r="C199" s="2">
        <v>17.44639499780336</v>
      </c>
      <c r="D199" s="6">
        <v>40.380000000000003</v>
      </c>
      <c r="E199" s="8" t="s">
        <v>420</v>
      </c>
    </row>
    <row r="200" spans="1:5" x14ac:dyDescent="0.2">
      <c r="A200" s="1">
        <v>45261</v>
      </c>
      <c r="B200" s="4">
        <v>125.21025085449219</v>
      </c>
      <c r="C200" s="2">
        <v>18.73614385263912</v>
      </c>
      <c r="D200" s="6">
        <v>35.99</v>
      </c>
      <c r="E200" s="8" t="s">
        <v>421</v>
      </c>
    </row>
    <row r="201" spans="1:5" x14ac:dyDescent="0.2">
      <c r="A201" s="1">
        <v>45292</v>
      </c>
      <c r="B201" s="4">
        <v>119.98468780517578</v>
      </c>
      <c r="C201" s="2">
        <v>45.161412087231298</v>
      </c>
      <c r="D201" s="6">
        <v>36.619999999999997</v>
      </c>
      <c r="E201" s="8" t="s">
        <v>422</v>
      </c>
    </row>
    <row r="202" spans="1:5" x14ac:dyDescent="0.2">
      <c r="A202" s="1">
        <v>45323</v>
      </c>
      <c r="B202" s="4">
        <v>109.94950103759766</v>
      </c>
      <c r="C202" s="2">
        <v>220.0677701742774</v>
      </c>
      <c r="D202" s="6">
        <v>32.21</v>
      </c>
      <c r="E202" s="8" t="s">
        <v>423</v>
      </c>
    </row>
    <row r="203" spans="1:5" x14ac:dyDescent="0.2">
      <c r="A203" s="1">
        <v>45352</v>
      </c>
      <c r="B203" s="4">
        <v>96.974052429199219</v>
      </c>
      <c r="C203" s="2">
        <v>44.783825960127047</v>
      </c>
      <c r="D203" s="6">
        <v>28.99</v>
      </c>
      <c r="E203" s="8" t="s">
        <v>424</v>
      </c>
    </row>
    <row r="204" spans="1:5" x14ac:dyDescent="0.2">
      <c r="A204" s="1">
        <v>45383</v>
      </c>
      <c r="B204" s="4">
        <v>112.007080078125</v>
      </c>
      <c r="C204" s="2">
        <v>46.127965750226871</v>
      </c>
      <c r="D204" s="6">
        <v>30.38</v>
      </c>
      <c r="E204" s="8" t="s">
        <v>425</v>
      </c>
    </row>
    <row r="205" spans="1:5" x14ac:dyDescent="0.2">
      <c r="A205" s="1">
        <v>45413</v>
      </c>
      <c r="B205" s="4">
        <v>107.46190643310547</v>
      </c>
      <c r="C205" s="2">
        <v>128.79600085457491</v>
      </c>
      <c r="D205" s="6">
        <v>28.04</v>
      </c>
      <c r="E205" s="8" t="s">
        <v>426</v>
      </c>
    </row>
    <row r="206" spans="1:5" x14ac:dyDescent="0.2">
      <c r="A206" s="1">
        <v>45444</v>
      </c>
      <c r="B206" s="4">
        <v>86.771110534667969</v>
      </c>
      <c r="C206" s="2">
        <v>66.368619498503108</v>
      </c>
      <c r="D206" s="6">
        <v>26.16</v>
      </c>
      <c r="E206" s="8" t="s">
        <v>427</v>
      </c>
    </row>
    <row r="207" spans="1:5" x14ac:dyDescent="0.2">
      <c r="A207" s="1">
        <v>45474</v>
      </c>
      <c r="B207" s="4">
        <v>71.844032287597656</v>
      </c>
      <c r="C207" s="2">
        <v>161.2128012408059</v>
      </c>
      <c r="D207" s="6">
        <v>26.38</v>
      </c>
      <c r="E207" s="8" t="s">
        <v>428</v>
      </c>
    </row>
    <row r="208" spans="1:5" x14ac:dyDescent="0.2">
      <c r="A208" s="1">
        <v>45505</v>
      </c>
      <c r="B208" s="4">
        <v>105.30271911621094</v>
      </c>
      <c r="C208" s="2">
        <v>221.59175922425399</v>
      </c>
      <c r="D208" s="6">
        <v>33.78</v>
      </c>
      <c r="E208" s="8" t="s">
        <v>429</v>
      </c>
    </row>
    <row r="209" spans="1:5" x14ac:dyDescent="0.2">
      <c r="A209" s="1">
        <v>45536</v>
      </c>
      <c r="B209" s="4">
        <v>95.699333190917969</v>
      </c>
      <c r="C209" s="2">
        <v>94.884039496721584</v>
      </c>
      <c r="D209" s="6">
        <v>36.39</v>
      </c>
      <c r="E209" s="8" t="s">
        <v>430</v>
      </c>
    </row>
    <row r="210" spans="1:5" x14ac:dyDescent="0.2">
      <c r="A210" s="1">
        <v>45566</v>
      </c>
      <c r="B210" s="4">
        <v>90.894554138183594</v>
      </c>
      <c r="C210" s="2">
        <v>194.75613686819591</v>
      </c>
      <c r="D210" s="6">
        <v>47.84</v>
      </c>
      <c r="E210" s="8" t="s">
        <v>431</v>
      </c>
    </row>
    <row r="211" spans="1:5" x14ac:dyDescent="0.2">
      <c r="A211" s="1">
        <v>45597</v>
      </c>
      <c r="B211" s="4">
        <v>94.961570739746094</v>
      </c>
      <c r="C211" s="2">
        <v>1401.6795495949609</v>
      </c>
      <c r="D211" s="6">
        <v>38.42</v>
      </c>
      <c r="E211" s="8" t="s">
        <v>432</v>
      </c>
    </row>
    <row r="212" spans="1:5" x14ac:dyDescent="0.2">
      <c r="A212" s="1">
        <v>45627</v>
      </c>
      <c r="B212" s="4">
        <v>116.52146148681641</v>
      </c>
      <c r="C212" s="2">
        <v>1319.0059439550159</v>
      </c>
      <c r="D212" s="6">
        <v>31.35</v>
      </c>
      <c r="E212" s="8" t="s">
        <v>264</v>
      </c>
    </row>
    <row r="213" spans="1:5" x14ac:dyDescent="0.2">
      <c r="A213" s="1">
        <v>45658</v>
      </c>
      <c r="B213" s="4">
        <v>100.89180755615234</v>
      </c>
      <c r="C213" s="2">
        <v>1725.709653866176</v>
      </c>
      <c r="D213" s="6">
        <v>32.42</v>
      </c>
      <c r="E213" s="8" t="s">
        <v>433</v>
      </c>
    </row>
    <row r="214" spans="1:5" x14ac:dyDescent="0.2">
      <c r="A214" s="1">
        <v>45689</v>
      </c>
      <c r="B214" s="4">
        <v>94.502044677734375</v>
      </c>
      <c r="C214" s="2">
        <v>2583.8987930466542</v>
      </c>
      <c r="D214" s="6">
        <v>31.72</v>
      </c>
      <c r="E214" s="8" t="s">
        <v>431</v>
      </c>
    </row>
    <row r="215" spans="1:5" x14ac:dyDescent="0.2">
      <c r="A215" s="1">
        <v>45717</v>
      </c>
      <c r="B215" s="4">
        <v>119.587890625</v>
      </c>
      <c r="C215" s="2">
        <v>5912.1076566959273</v>
      </c>
      <c r="D215" s="6">
        <v>32.19</v>
      </c>
      <c r="E215" s="8" t="s">
        <v>434</v>
      </c>
    </row>
    <row r="216" spans="1:5" x14ac:dyDescent="0.2">
      <c r="A216" s="1">
        <v>45748</v>
      </c>
      <c r="B216" s="4">
        <v>111.29067993164062</v>
      </c>
      <c r="C216" s="2">
        <v>7955.6469824413298</v>
      </c>
      <c r="D216" s="6">
        <v>44.22</v>
      </c>
      <c r="E216" s="8" t="s">
        <v>435</v>
      </c>
    </row>
    <row r="217" spans="1:5" x14ac:dyDescent="0.2">
      <c r="A217" s="1">
        <v>45778</v>
      </c>
      <c r="B217" s="4">
        <v>128.90989685058594</v>
      </c>
      <c r="C217" s="2">
        <v>5780.0370657017093</v>
      </c>
      <c r="D217" s="6">
        <v>40.770000000000003</v>
      </c>
      <c r="E217" s="8" t="s">
        <v>436</v>
      </c>
    </row>
    <row r="218" spans="1:5" x14ac:dyDescent="0.2">
      <c r="A218" s="1">
        <v>45809</v>
      </c>
      <c r="B218" s="4">
        <v>156.36903381347656</v>
      </c>
      <c r="C218" s="2">
        <v>3537.4698684264749</v>
      </c>
      <c r="D218" s="6">
        <v>46.35</v>
      </c>
      <c r="E218" s="8" t="s">
        <v>437</v>
      </c>
    </row>
    <row r="219" spans="1:5" x14ac:dyDescent="0.2">
      <c r="A219" s="1">
        <v>45839</v>
      </c>
      <c r="B219" s="4">
        <v>106.19876098632812</v>
      </c>
      <c r="C219" s="2">
        <v>3371.6439272584471</v>
      </c>
      <c r="D219" s="6">
        <v>35.1</v>
      </c>
      <c r="E219" s="8" t="s">
        <v>251</v>
      </c>
    </row>
    <row r="220" spans="1:5" x14ac:dyDescent="0.2">
      <c r="A220" s="1">
        <v>45870</v>
      </c>
      <c r="B220" s="4">
        <v>119.71299743652344</v>
      </c>
      <c r="C220" s="2">
        <v>2727.153606808994</v>
      </c>
      <c r="D220" s="6">
        <v>33.86</v>
      </c>
      <c r="E220" s="8" t="s">
        <v>438</v>
      </c>
    </row>
    <row r="221" spans="1:5" x14ac:dyDescent="0.2">
      <c r="A221" s="1">
        <v>45901</v>
      </c>
      <c r="B221" s="4">
        <v>113.94840240478516</v>
      </c>
      <c r="C221" s="2">
        <v>3767.431290357119</v>
      </c>
      <c r="D221" s="6">
        <v>33.54</v>
      </c>
      <c r="E221" s="8" t="s">
        <v>439</v>
      </c>
    </row>
    <row r="222" spans="1:5" x14ac:dyDescent="0.2">
      <c r="A222" s="1">
        <v>45931</v>
      </c>
      <c r="B222" s="4">
        <v>132.3565673828125</v>
      </c>
      <c r="C222" s="2">
        <v>2558.2798789458202</v>
      </c>
      <c r="D222" s="6">
        <v>36.369999999999997</v>
      </c>
      <c r="E222" s="8" t="s">
        <v>440</v>
      </c>
    </row>
    <row r="223" spans="1:5" x14ac:dyDescent="0.2">
      <c r="A223" s="1">
        <v>45962</v>
      </c>
      <c r="B223" s="4">
        <v>90.522109985351562</v>
      </c>
      <c r="C223" s="2">
        <v>3178.6687399548509</v>
      </c>
      <c r="D223" s="6">
        <v>34.21</v>
      </c>
      <c r="E223" s="8" t="s">
        <v>441</v>
      </c>
    </row>
    <row r="224" spans="1:5" x14ac:dyDescent="0.2">
      <c r="A224" s="1">
        <v>45992</v>
      </c>
      <c r="B224" s="4">
        <v>112.32606506347656</v>
      </c>
      <c r="C224" s="2">
        <v>3115.98062860966</v>
      </c>
      <c r="D224" s="6">
        <v>32.880000000000003</v>
      </c>
      <c r="E224" s="8" t="s">
        <v>373</v>
      </c>
    </row>
    <row r="225" spans="1:5" x14ac:dyDescent="0.2">
      <c r="A225" s="1">
        <v>46023</v>
      </c>
      <c r="B225" s="4">
        <v>128.0704345703125</v>
      </c>
      <c r="C225" s="2">
        <v>2244.096086150249</v>
      </c>
      <c r="D225" s="6">
        <v>42.09</v>
      </c>
      <c r="E225" s="8" t="s">
        <v>442</v>
      </c>
    </row>
    <row r="226" spans="1:5" x14ac:dyDescent="0.2">
      <c r="A226" s="1">
        <v>46054</v>
      </c>
      <c r="B226" s="4">
        <v>108.26046752929688</v>
      </c>
      <c r="C226" s="2">
        <v>3051.5995866672661</v>
      </c>
      <c r="D226" s="6">
        <v>52.62</v>
      </c>
      <c r="E226" s="8" t="s">
        <v>443</v>
      </c>
    </row>
    <row r="227" spans="1:5" x14ac:dyDescent="0.2">
      <c r="A227" s="1">
        <v>46082</v>
      </c>
      <c r="B227" s="4">
        <v>251.24630737304688</v>
      </c>
      <c r="C227" s="2">
        <v>2185.5883631067231</v>
      </c>
      <c r="D227" s="6">
        <v>95.35</v>
      </c>
      <c r="E227" s="8" t="s">
        <v>444</v>
      </c>
    </row>
    <row r="228" spans="1:5" x14ac:dyDescent="0.2">
      <c r="A228" s="1"/>
      <c r="B228" s="4"/>
      <c r="D228" s="6"/>
      <c r="E228" s="8"/>
    </row>
  </sheetData>
  <conditionalFormatting sqref="C2:C145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Analiz Verileri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2026-05-11T22:27:26Z</dcterms:created>
  <dcterms:modified xsi:type="dcterms:W3CDTF">2026-05-14T21:28:09Z</dcterms:modified>
</cp:coreProperties>
</file>